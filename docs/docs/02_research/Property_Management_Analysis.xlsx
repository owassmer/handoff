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59556357f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ics" sheetId="1" r:id="Ra2e29ca7af5748e0"/>
    <x:sheet xmlns:r="http://schemas.openxmlformats.org/officeDocument/2006/relationships" name="Assumptions" sheetId="2" r:id="R2ed1a8cfc5804c95"/>
    <x:sheet xmlns:r="http://schemas.openxmlformats.org/officeDocument/2006/relationships" name="Sensitivity" sheetId="3" r:id="R869d12f3ab0742b7"/>
    <x:sheet xmlns:r="http://schemas.openxmlformats.org/officeDocument/2006/relationships" name="Decisions" sheetId="4" r:id="Ra90f147e860f4aca"/>
    <x:sheet xmlns:r="http://schemas.openxmlformats.org/officeDocument/2006/relationships" name="Competitors" sheetId="5" r:id="R5693141ab80e475e"/>
    <x:sheet xmlns:r="http://schemas.openxmlformats.org/officeDocument/2006/relationships" name="Public data" sheetId="6" r:id="R395f83181ca4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;(#,##0);&quot;–&quot;"/>
    <x:numFmt numFmtId="201" formatCode="0.0%;(0.0%);&quot;–&quot;"/>
    <x:numFmt numFmtId="202" formatCode="$#,##0.00;($#,##0.00);&quot;–&quot;"/>
    <x:numFmt numFmtId="203" formatCode="$#,##0;($#,##0);&quot;–&quot;"/>
    <x:numFmt numFmtId="204" formatCode="#,##0.0"/>
    <x:numFmt numFmtId="205" formatCode="0.0"/>
    <x:numFmt numFmtId="206" formatCode="0.00&quot;x&quot;"/>
    <x:numFmt numFmtId="207" formatCode="0.00"/>
    <x:numFmt numFmtId="208" formatCode="mm/dd/yy"/>
    <x:numFmt numFmtId="209" formatCode="#,##0"/>
    <x:numFmt numFmtId="210" formatCode="0.0%"/>
    <x:numFmt numFmtId="211" formatCode="0.0&quot;%&quot;"/>
  </x:numFmts>
  <x:fonts count="11">
    <x:font>
      <x:sz val="11"/>
      <x:name val="Carlito"/>
    </x:font>
    <x:font>
      <x:sz val="10"/>
      <x:color rgb="FF202C39"/>
      <x:name val="Arial"/>
    </x:font>
    <x:font>
      <x:b/>
      <x:sz val="16"/>
      <x:color rgb="FF243B53"/>
      <x:name val="Arial"/>
    </x:font>
    <x:font>
      <x:i/>
      <x:sz val="10"/>
      <x:color rgb="FF526574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b/>
      <x:sz val="10"/>
      <x:color rgb="FF243B53"/>
      <x:name val="Arial"/>
    </x:font>
    <x:font>
      <x:b/>
      <x:sz val="10"/>
      <x:color rgb="FF202C39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DF2F6"/>
      </x:patternFill>
    </x:fill>
  </x:fills>
  <x:borders count="3">
    <x:border/>
    <x:border>
      <x:bottom style="thin">
        <x:color rgb="FF243B53"/>
      </x:bottom>
    </x:border>
    <x:border>
      <x:top style="thin">
        <x:color rgb="FFABBAC8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horizontal="right"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right"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horizontal="right" vertical="center"/>
    </x:xf>
    <x:xf numFmtId="0" fontId="8" fillId="0" borderId="2" xfId="0" applyNumberFormat="1" applyFont="1" applyFill="1" applyBorder="1" applyAlignment="1">
      <x:alignment vertical="center"/>
    </x:xf>
    <x:xf numFmtId="203" fontId="8" fillId="0" borderId="2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2" fontId="8" fillId="0" borderId="2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right" vertical="center"/>
    </x:xf>
    <x:xf numFmtId="204" fontId="9" fillId="0" borderId="0" xfId="0" applyNumberFormat="1" applyFont="1" applyFill="1" applyBorder="1" applyAlignment="1">
      <x:alignment horizontal="right" vertical="center"/>
    </x:xf>
    <x:xf numFmtId="205" fontId="9" fillId="0" borderId="0" xfId="0" applyNumberFormat="1" applyFont="1" applyFill="1" applyBorder="1" applyAlignment="1">
      <x:alignment horizontal="right" vertical="center"/>
    </x:xf>
    <x:xf numFmtId="203" fontId="9" fillId="0" borderId="0" xfId="0" applyNumberFormat="1" applyFont="1" applyFill="1" applyBorder="1" applyAlignment="1">
      <x:alignment horizontal="right" vertical="center"/>
    </x:xf>
    <x:xf numFmtId="203" fontId="10" fillId="0" borderId="2" xfId="0" applyNumberFormat="1" applyFont="1" applyFill="1" applyBorder="1" applyAlignment="1">
      <x:alignment horizontal="right"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2" fontId="9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 wrapText="1"/>
    </x:xf>
    <x:xf numFmtId="209" fontId="1" fillId="0" borderId="0" xfId="0" applyNumberFormat="1" applyFont="1" applyFill="1" applyBorder="1" applyAlignment="1">
      <x:alignment vertical="top" wrapText="1"/>
    </x:xf>
    <x:xf numFmtId="210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11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  <x:dxf>
      <x:font>
        <x:color rgb="FF9C2525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e4b07a5074339" /><Relationship Type="http://schemas.openxmlformats.org/officeDocument/2006/relationships/theme" Target="/xl/theme/theme1.xml" Id="R2618b09928a6486e" /><Relationship Type="http://schemas.openxmlformats.org/officeDocument/2006/relationships/sharedStrings" Target="/xl/sharedStrings.xml" Id="R87e8f5b11cd545a2" /><Relationship Type="http://schemas.openxmlformats.org/officeDocument/2006/relationships/worksheet" Target="/xl/worksheets/sheet1.xml" Id="Ra2e29ca7af5748e0" /><Relationship Type="http://schemas.openxmlformats.org/officeDocument/2006/relationships/worksheet" Target="/xl/worksheets/sheet2.xml" Id="R2ed1a8cfc5804c95" /><Relationship Type="http://schemas.openxmlformats.org/officeDocument/2006/relationships/worksheet" Target="/xl/worksheets/sheet3.xml" Id="R869d12f3ab0742b7" /><Relationship Type="http://schemas.openxmlformats.org/officeDocument/2006/relationships/worksheet" Target="/xl/worksheets/sheet4.xml" Id="Ra90f147e860f4aca" /><Relationship Type="http://schemas.openxmlformats.org/officeDocument/2006/relationships/worksheet" Target="/xl/worksheets/sheet5.xml" Id="R5693141ab80e475e" /><Relationship Type="http://schemas.openxmlformats.org/officeDocument/2006/relationships/worksheet" Target="/xl/worksheets/sheet6.xml" Id="R395f83181ca44124" /></Relationships>
</file>

<file path=xl/tables/table1.xml><?xml version="1.0" encoding="utf-8"?>
<x:table xmlns:x="http://schemas.openxmlformats.org/spreadsheetml/2006/main" id="1" name="DecisionInventory" displayName="DecisionInventory" ref="A6:R121" headerRowCount="1" totalsRowCount="0" totalsRowShown="0">
  <x:autoFilter ref="A6:R121"/>
  <x:tableColumns count="18">
    <x:tableColumn id="1" name="decision id"/>
    <x:tableColumn id="2" name="family"/>
    <x:tableColumn id="3" name="scope"/>
    <x:tableColumn id="4" name="decision"/>
    <x:tableColumn id="5" name="trigger"/>
    <x:tableColumn id="6" name="inputs"/>
    <x:tableColumn id="7" name="alternatives"/>
    <x:tableColumn id="8" name="decision authority"/>
    <x:tableColumn id="9" name="executor"/>
    <x:tableColumn id="10" name="desired outcome"/>
    <x:tableColumn id="11" name="constraints"/>
    <x:tableColumn id="12" name="automation hypothesis"/>
    <x:tableColumn id="13" name="dependencies"/>
    <x:tableColumn id="14" name="what to validate with operator"/>
    <x:tableColumn id="15" name="source ids"/>
    <x:tableColumn id="16" name="source urls"/>
    <x:tableColumn id="17" name="source scope"/>
    <x:tableColumn id="18" name="source limita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titorInventory" displayName="CompetitorInventory" ref="A6:M44" headerRowCount="1" totalsRowCount="0" totalsRowShown="0">
  <x:autoFilter ref="A6:M44"/>
  <x:tableColumns count="13">
    <x:tableColumn id="1" name="provider"/>
    <x:tableColumn id="2" name="category"/>
    <x:tableColumn id="3" name="segments"/>
    <x:tableColumn id="4" name="lifecycle coverage"/>
    <x:tableColumn id="5" name="capabilities observed"/>
    <x:tableColumn id="6" name="evidence kind"/>
    <x:tableColumn id="7" name="price observed"/>
    <x:tableColumn id="8" name="access observed"/>
    <x:tableColumn id="9" name="limitations or unknowns"/>
    <x:tableColumn id="10" name="competitive implication"/>
    <x:tableColumn id="11" name="source urls"/>
    <x:tableColumn id="12" name="source date"/>
    <x:tableColumn id="13" name="checked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blicDataInventory" displayName="PublicDataInventory" ref="A6:H112" headerRowCount="1" totalsRowCount="0" totalsRowShown="0">
  <x:autoFilter ref="A6:H112"/>
  <x:tableColumns count="8">
    <x:tableColumn id="1" name="group"/>
    <x:tableColumn id="2" name="category"/>
    <x:tableColumn id="3" name="measure"/>
    <x:tableColumn id="4" name="value"/>
    <x:tableColumn id="5" name="status"/>
    <x:tableColumn id="6" name="period"/>
    <x:tableColumn id="7" name="source url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65ef8a7f5c647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82ca637687b4f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a0ad5d85efa4628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" hidden="0" customWidth="1"/>
    <x:col min="2" max="2" width="51" hidden="0" customWidth="1"/>
    <x:col min="3" max="3" width="3" hidden="0" customWidth="1"/>
    <x:col min="4" max="4" width="17" hidden="0" customWidth="1"/>
    <x:col min="5" max="5" width="3" hidden="0" customWidth="1"/>
    <x:col min="6" max="6" width="8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2"/>
      <x:c r="B2" s="3" t="str">
        <x:v>Vacant-unit readiness economics</x:v>
      </x:c>
      <x:c r="C2" s="2"/>
      <x:c r="D2" s="2"/>
      <x:c r="E2" s="2"/>
      <x:c r="F2" s="2"/>
      <x:c r="G2" s="2"/>
    </x:row>
    <x:row r="3">
      <x:c r="A3" s="2"/>
      <x:c r="B3" s="4"/>
      <x:c r="C3" s="4"/>
      <x:c r="D3" s="4"/>
      <x:c r="E3" s="4"/>
      <x:c r="F3" s="4"/>
      <x:c r="G3" s="2"/>
    </x:row>
    <x:row r="4" ht="23" customHeight="1">
      <x:c r="A4" s="2"/>
      <x:c r="B4" s="5" t="str">
        <x:v>Monthly values in USD unless stated. Illustrative assumptions, not a forecast or market estimate.</x:v>
      </x:c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4" customHeight="1">
      <x:c r="A6" s="2"/>
      <x:c r="B6" s="20" t="str">
        <x:v>Monthly results</x:v>
      </x:c>
      <x:c r="C6" s="20"/>
      <x:c r="D6" s="21"/>
      <x:c r="E6" s="2"/>
      <x:c r="F6" s="2"/>
      <x:c r="G6" s="2"/>
    </x:row>
    <x:row r="7" ht="23" customHeight="1">
      <x:c r="A7" s="2"/>
      <x:c r="B7" s="26" t="str">
        <x:v>Buyer net cash-equivalent value</x:v>
      </x:c>
      <x:c r="C7" s="26"/>
      <x:c r="D7" s="27" t="n">
        <x:f>D34-D35</x:f>
        <x:v>3572.916666666667</x:v>
      </x:c>
      <x:c r="E7" s="2"/>
      <x:c r="F7" s="2" t="str">
        <x:v>Manager cash benefit plus the buyer’s owner economics, less the product fee.</x:v>
      </x:c>
      <x:c r="G7" s="2"/>
    </x:row>
    <x:row r="8" ht="23" customHeight="1">
      <x:c r="A8" s="2"/>
      <x:c r="B8" s="2" t="str">
        <x:v>Owner value retained outside the buyer</x:v>
      </x:c>
      <x:c r="C8" s="2"/>
      <x:c r="D8" s="22" t="n">
        <x:f>D32</x:f>
        <x:v>0</x:v>
      </x:c>
      <x:c r="E8" s="2"/>
      <x:c r="F8" s="2" t="str">
        <x:v>Avoid counting this as manager willingness to pay without an actual sharing agreement.</x:v>
      </x:c>
      <x:c r="G8" s="2"/>
    </x:row>
    <x:row r="9" ht="23" customHeight="1">
      <x:c r="A9" s="2"/>
      <x:c r="B9" s="26" t="str">
        <x:v>Provider contribution after customer delivery costs</x:v>
      </x:c>
      <x:c r="C9" s="26"/>
      <x:c r="D9" s="27" t="n">
        <x:f>D51</x:f>
        <x:v>1779.5138888888894</x:v>
      </x:c>
      <x:c r="E9" s="2"/>
      <x:c r="F9" s="2" t="str">
        <x:v>Before sales, central engineering, overhead and taxes.</x:v>
      </x:c>
      <x:c r="G9" s="2"/>
    </x:row>
    <x:row r="10" ht="23" customHeight="1">
      <x:c r="A10" s="2"/>
      <x:c r="B10" s="2" t="str">
        <x:v>Provider contribution margin</x:v>
      </x:c>
      <x:c r="C10" s="2"/>
      <x:c r="D10" s="23" t="n">
        <x:f>D52</x:f>
        <x:v>0.6101190476190477</x:v>
      </x:c>
      <x:c r="E10" s="2"/>
      <x:c r="F10" s="2"/>
      <x:c r="G10" s="2"/>
    </x:row>
    <x:row r="11" ht="23" customHeight="1">
      <x:c r="A11" s="2"/>
      <x:c r="B11" s="2"/>
      <x:c r="C11" s="2"/>
      <x:c r="D11" s="17"/>
      <x:c r="E11" s="2"/>
      <x:c r="F11" s="2"/>
      <x:c r="G11" s="2"/>
    </x:row>
    <x:row r="12" ht="23" customHeight="1">
      <x:c r="A12" s="2"/>
      <x:c r="B12" s="2"/>
      <x:c r="C12" s="2"/>
      <x:c r="D12" s="17"/>
      <x:c r="E12" s="2"/>
      <x:c r="F12" s="2"/>
      <x:c r="G12" s="2"/>
    </x:row>
    <x:row r="13" ht="24" customHeight="1">
      <x:c r="A13" s="2"/>
      <x:c r="B13" s="20" t="str">
        <x:v>Work volume and manager labor</x:v>
      </x:c>
      <x:c r="C13" s="20"/>
      <x:c r="D13" s="21"/>
      <x:c r="E13" s="2"/>
      <x:c r="F13" s="2"/>
      <x:c r="G13" s="2"/>
    </x:row>
    <x:row r="14" ht="23" customHeight="1">
      <x:c r="A14" s="2"/>
      <x:c r="B14" s="2" t="str">
        <x:v>Managed units</x:v>
      </x:c>
      <x:c r="C14" s="2"/>
      <x:c r="D14" s="36" t="n">
        <x:f>IF(ISNUMBER('Assumptions'!D7),'Assumptions'!D7,"n.a.")</x:f>
        <x:v>1000</x:v>
      </x:c>
      <x:c r="E14" s="2"/>
      <x:c r="F14" s="2"/>
      <x:c r="G14" s="2"/>
    </x:row>
    <x:row r="15" ht="23" customHeight="1">
      <x:c r="A15" s="2"/>
      <x:c r="B15" s="2" t="str">
        <x:v>Turns per month</x:v>
      </x:c>
      <x:c r="C15" s="2"/>
      <x:c r="D15" s="37" t="n">
        <x:f>IF(ISNUMBER('Assumptions'!D8),D14*'Assumptions'!D8/12,"n.a.")</x:f>
        <x:v>29.166666666666668</x:v>
      </x:c>
      <x:c r="E15" s="2"/>
      <x:c r="F15" s="2"/>
      <x:c r="G15" s="2"/>
    </x:row>
    <x:row r="16" ht="23" customHeight="1">
      <x:c r="A16" s="2"/>
      <x:c r="B16" s="2" t="str">
        <x:v>Eligible serviced turns per month</x:v>
      </x:c>
      <x:c r="C16" s="2"/>
      <x:c r="D16" s="37" t="n">
        <x:f>IF(ISNUMBER('Assumptions'!D9),D15*'Assumptions'!D9,"n.a.")</x:f>
        <x:v>29.166666666666668</x:v>
      </x:c>
      <x:c r="E16" s="2"/>
      <x:c r="F16" s="2"/>
      <x:c r="G16" s="2"/>
    </x:row>
    <x:row r="17" ht="23" customHeight="1">
      <x:c r="A17" s="2"/>
      <x:c r="B17" s="2" t="str">
        <x:v>Manager hours released per month</x:v>
      </x:c>
      <x:c r="C17" s="2"/>
      <x:c r="D17" s="38" t="n">
        <x:f>D16*'Assumptions'!D10/60</x:f>
        <x:v>29.166666666666668</x:v>
      </x:c>
      <x:c r="E17" s="2"/>
      <x:c r="F17" s="2"/>
      <x:c r="G17" s="2"/>
    </x:row>
    <x:row r="18" ht="23" customHeight="1">
      <x:c r="A18" s="2"/>
      <x:c r="B18" s="2" t="str">
        <x:v>Labor capacity value</x:v>
      </x:c>
      <x:c r="C18" s="2"/>
      <x:c r="D18" s="39" t="n">
        <x:f>D17*'Assumptions'!D11</x:f>
        <x:v>1312.5</x:v>
      </x:c>
      <x:c r="E18" s="2"/>
      <x:c r="F18" s="2" t="str">
        <x:v>A capacity equivalent. It is not automatically reduced payroll or added profit.</x:v>
      </x:c>
      <x:c r="G18" s="2"/>
    </x:row>
    <x:row r="19" ht="23" customHeight="1">
      <x:c r="A19" s="2"/>
      <x:c r="B19" s="26" t="str">
        <x:v>Realized manager labor value</x:v>
      </x:c>
      <x:c r="C19" s="26"/>
      <x:c r="D19" s="40" t="n">
        <x:f>D18*'Assumptions'!D12</x:f>
        <x:v>656.25</x:v>
      </x:c>
      <x:c r="E19" s="2"/>
      <x:c r="F19" s="2"/>
      <x:c r="G19" s="2"/>
    </x:row>
    <x:row r="20" ht="23" customHeight="1">
      <x:c r="A20" s="2"/>
      <x:c r="B20" s="2"/>
      <x:c r="C20" s="2"/>
      <x:c r="D20" s="17"/>
      <x:c r="E20" s="2"/>
      <x:c r="F20" s="2"/>
      <x:c r="G20" s="2"/>
    </x:row>
    <x:row r="21" ht="23" customHeight="1">
      <x:c r="A21" s="2"/>
      <x:c r="B21" s="2"/>
      <x:c r="C21" s="2"/>
      <x:c r="D21" s="17"/>
      <x:c r="E21" s="2"/>
      <x:c r="F21" s="2"/>
      <x:c r="G21" s="2"/>
    </x:row>
    <x:row r="22" ht="24" customHeight="1">
      <x:c r="A22" s="2"/>
      <x:c r="B22" s="20" t="str">
        <x:v>Owner, manager and buyer value</x:v>
      </x:c>
      <x:c r="C22" s="20"/>
      <x:c r="D22" s="21"/>
      <x:c r="E22" s="2"/>
      <x:c r="F22" s="2"/>
      <x:c r="G22" s="2"/>
    </x:row>
    <x:row r="23" ht="23" customHeight="1">
      <x:c r="A23" s="2"/>
      <x:c r="B23" s="2" t="str">
        <x:v>Owner actual expense reduction</x:v>
      </x:c>
      <x:c r="C23" s="2"/>
      <x:c r="D23" s="39" t="n">
        <x:f>D16*'Assumptions'!D13</x:f>
        <x:v>0</x:v>
      </x:c>
      <x:c r="E23" s="2"/>
      <x:c r="F23" s="2"/>
      <x:c r="G23" s="2"/>
    </x:row>
    <x:row r="24" ht="23" customHeight="1">
      <x:c r="A24" s="2"/>
      <x:c r="B24" s="2" t="str">
        <x:v>Owner additional collected revenue</x:v>
      </x:c>
      <x:c r="C24" s="2"/>
      <x:c r="D24" s="39" t="n">
        <x:f>D16*'Assumptions'!D14</x:f>
        <x:v>5833.333333333334</x:v>
      </x:c>
      <x:c r="E24" s="2"/>
      <x:c r="F24" s="2"/>
      <x:c r="G24" s="2"/>
    </x:row>
    <x:row r="25" ht="23" customHeight="1">
      <x:c r="A25" s="2"/>
      <x:c r="B25" s="26" t="str">
        <x:v>Total owner improvement before added fees</x:v>
      </x:c>
      <x:c r="C25" s="26"/>
      <x:c r="D25" s="27" t="n">
        <x:f>D23+D24</x:f>
        <x:v>5833.333333333334</x:v>
      </x:c>
      <x:c r="E25" s="2"/>
      <x:c r="F25" s="2"/>
      <x:c r="G25" s="2"/>
    </x:row>
    <x:row r="26" ht="23" customHeight="1">
      <x:c r="A26" s="2"/>
      <x:c r="B26" s="2" t="str">
        <x:v>Manager fees on additional revenue</x:v>
      </x:c>
      <x:c r="C26" s="2"/>
      <x:c r="D26" s="39" t="n">
        <x:f>D24*'Assumptions'!D15</x:f>
        <x:v>466.66666666666674</x:v>
      </x:c>
      <x:c r="E26" s="2"/>
      <x:c r="F26" s="2"/>
      <x:c r="G26" s="2"/>
    </x:row>
    <x:row r="27" ht="23" customHeight="1">
      <x:c r="A27" s="2"/>
      <x:c r="B27" s="2" t="str">
        <x:v>Owner improvement after manager fees</x:v>
      </x:c>
      <x:c r="C27" s="2"/>
      <x:c r="D27" s="22" t="n">
        <x:f>D25-D26</x:f>
        <x:v>5366.666666666667</x:v>
      </x:c>
      <x:c r="E27" s="2"/>
      <x:c r="F27" s="2"/>
      <x:c r="G27" s="2"/>
    </x:row>
    <x:row r="28" ht="23" customHeight="1">
      <x:c r="A28" s="2"/>
      <x:c r="B28" s="2"/>
      <x:c r="C28" s="2"/>
      <x:c r="D28" s="17"/>
      <x:c r="E28" s="2"/>
      <x:c r="F28" s="2"/>
      <x:c r="G28" s="2"/>
    </x:row>
    <x:row r="29" ht="23" customHeight="1">
      <x:c r="A29" s="2"/>
      <x:c r="B29" s="2" t="str">
        <x:v>Standalone manager cash benefit</x:v>
      </x:c>
      <x:c r="C29" s="2"/>
      <x:c r="D29" s="22" t="n">
        <x:f>SUM(D19,D26)</x:f>
        <x:v>1122.9166666666667</x:v>
      </x:c>
      <x:c r="E29" s="2"/>
      <x:c r="F29" s="2" t="str">
        <x:v>Excludes owner expense savings and the value of unused capacity.</x:v>
      </x:c>
      <x:c r="G29" s="2"/>
    </x:row>
    <x:row r="30" ht="23" customHeight="1">
      <x:c r="A30" s="2"/>
      <x:c r="B30" s="2" t="str">
        <x:v>Buyer ownership or contractual economic share</x:v>
      </x:c>
      <x:c r="C30" s="2"/>
      <x:c r="D30" s="41" t="n">
        <x:f>'Assumptions'!D16</x:f>
        <x:v>1</x:v>
      </x:c>
      <x:c r="E30" s="2"/>
      <x:c r="F30" s="2"/>
      <x:c r="G30" s="2"/>
    </x:row>
    <x:row r="31" ht="23" customHeight="1">
      <x:c r="A31" s="2"/>
      <x:c r="B31" s="2" t="str">
        <x:v>Owner economics captured by buyer</x:v>
      </x:c>
      <x:c r="C31" s="2"/>
      <x:c r="D31" s="22" t="n">
        <x:f>D27*D30</x:f>
        <x:v>5366.666666666667</x:v>
      </x:c>
      <x:c r="E31" s="2"/>
      <x:c r="F31" s="2"/>
      <x:c r="G31" s="2"/>
    </x:row>
    <x:row r="32" ht="23" customHeight="1">
      <x:c r="A32" s="2"/>
      <x:c r="B32" s="2" t="str">
        <x:v>Owner economics retained outside buyer</x:v>
      </x:c>
      <x:c r="C32" s="2"/>
      <x:c r="D32" s="22" t="n">
        <x:f>D27-D31</x:f>
        <x:v>0</x:v>
      </x:c>
      <x:c r="E32" s="2"/>
      <x:c r="F32" s="2"/>
      <x:c r="G32" s="2"/>
    </x:row>
    <x:row r="33" ht="23" customHeight="1">
      <x:c r="A33" s="2"/>
      <x:c r="B33" s="2"/>
      <x:c r="C33" s="2"/>
      <x:c r="D33" s="17"/>
      <x:c r="E33" s="2"/>
      <x:c r="F33" s="2"/>
      <x:c r="G33" s="2"/>
    </x:row>
    <x:row r="34" ht="23" customHeight="1">
      <x:c r="A34" s="2"/>
      <x:c r="B34" s="26" t="str">
        <x:v>Buyer value before product price</x:v>
      </x:c>
      <x:c r="C34" s="26"/>
      <x:c r="D34" s="27" t="n">
        <x:f>SUM(D29,D31)</x:f>
        <x:v>6489.583333333334</x:v>
      </x:c>
      <x:c r="E34" s="2"/>
      <x:c r="F34" s="2"/>
      <x:c r="G34" s="2"/>
    </x:row>
    <x:row r="35" ht="23" customHeight="1">
      <x:c r="A35" s="2"/>
      <x:c r="B35" s="2" t="str">
        <x:v>Product price to buyer</x:v>
      </x:c>
      <x:c r="C35" s="2"/>
      <x:c r="D35" s="39" t="n">
        <x:f>'Assumptions'!D17+D16*'Assumptions'!D18</x:f>
        <x:v>2916.666666666667</x:v>
      </x:c>
      <x:c r="E35" s="2"/>
      <x:c r="F35" s="2"/>
      <x:c r="G35" s="2"/>
    </x:row>
    <x:row r="36" ht="23" customHeight="1">
      <x:c r="A36" s="2"/>
      <x:c r="B36" s="26" t="str">
        <x:v>Buyer net value</x:v>
      </x:c>
      <x:c r="C36" s="26"/>
      <x:c r="D36" s="27" t="n">
        <x:f>D34-D35</x:f>
        <x:v>3572.916666666667</x:v>
      </x:c>
      <x:c r="E36" s="2"/>
      <x:c r="F36" s="2"/>
      <x:c r="G36" s="2"/>
    </x:row>
    <x:row r="37" ht="23" customHeight="1">
      <x:c r="A37" s="2"/>
      <x:c r="B37" s="2" t="str">
        <x:v>Buyer value / product price</x:v>
      </x:c>
      <x:c r="C37" s="2"/>
      <x:c r="D37" s="31" t="n">
        <x:f>IF(D35=0,"n.a.",D34/D35)</x:f>
        <x:v>2.225</x:v>
      </x:c>
      <x:c r="E37" s="2"/>
      <x:c r="F37" s="2"/>
      <x:c r="G37" s="2"/>
    </x:row>
    <x:row r="38" ht="23" customHeight="1">
      <x:c r="A38" s="2"/>
      <x:c r="B38" s="2"/>
      <x:c r="C38" s="2"/>
      <x:c r="D38" s="17"/>
      <x:c r="E38" s="2"/>
      <x:c r="F38" s="2"/>
      <x:c r="G38" s="2"/>
    </x:row>
    <x:row r="39" ht="23" customHeight="1">
      <x:c r="A39" s="2"/>
      <x:c r="B39" s="2"/>
      <x:c r="C39" s="2"/>
      <x:c r="D39" s="17"/>
      <x:c r="E39" s="2"/>
      <x:c r="F39" s="2"/>
      <x:c r="G39" s="2"/>
    </x:row>
    <x:row r="40" ht="24" customHeight="1">
      <x:c r="A40" s="2"/>
      <x:c r="B40" s="20" t="str">
        <x:v>Provider delivery costs and contribution</x:v>
      </x:c>
      <x:c r="C40" s="20"/>
      <x:c r="D40" s="21"/>
      <x:c r="E40" s="2"/>
      <x:c r="F40" s="2"/>
      <x:c r="G40" s="2"/>
    </x:row>
    <x:row r="41" ht="23" customHeight="1">
      <x:c r="A41" s="2"/>
      <x:c r="B41" s="2" t="str">
        <x:v>Routine handling minutes per serviced turn</x:v>
      </x:c>
      <x:c r="C41" s="2"/>
      <x:c r="D41" s="38" t="n">
        <x:f>'Assumptions'!D19</x:f>
        <x:v>20</x:v>
      </x:c>
      <x:c r="E41" s="2"/>
      <x:c r="F41" s="2"/>
      <x:c r="G41" s="2"/>
    </x:row>
    <x:row r="42" ht="23" customHeight="1">
      <x:c r="A42" s="2"/>
      <x:c r="B42" s="2" t="str">
        <x:v>Expected additional exception minutes per turn</x:v>
      </x:c>
      <x:c r="C42" s="2"/>
      <x:c r="D42" s="38" t="n">
        <x:f>'Assumptions'!D20*'Assumptions'!D21</x:f>
        <x:v>15</x:v>
      </x:c>
      <x:c r="E42" s="2"/>
      <x:c r="F42" s="2"/>
      <x:c r="G42" s="2"/>
    </x:row>
    <x:row r="43" ht="23" customHeight="1">
      <x:c r="A43" s="2"/>
      <x:c r="B43" s="2" t="str">
        <x:v>Human handling cost per serviced turn</x:v>
      </x:c>
      <x:c r="C43" s="2"/>
      <x:c r="D43" s="42" t="n">
        <x:f>SUM(D41:D42)/60*'Assumptions'!D22</x:f>
        <x:v>20.416666666666668</x:v>
      </x:c>
      <x:c r="E43" s="2"/>
      <x:c r="F43" s="2"/>
      <x:c r="G43" s="2"/>
    </x:row>
    <x:row r="44" ht="23" customHeight="1">
      <x:c r="A44" s="2"/>
      <x:c r="B44" s="2" t="str">
        <x:v>Model and communications cost per turn</x:v>
      </x:c>
      <x:c r="C44" s="2"/>
      <x:c r="D44" s="42" t="n">
        <x:f>'Assumptions'!D23</x:f>
        <x:v>2</x:v>
      </x:c>
      <x:c r="E44" s="2"/>
      <x:c r="F44" s="2"/>
      <x:c r="G44" s="2"/>
    </x:row>
    <x:row r="45" ht="23" customHeight="1">
      <x:c r="A45" s="2"/>
      <x:c r="B45" s="26" t="str">
        <x:v>Variable delivery cost per turn</x:v>
      </x:c>
      <x:c r="C45" s="26"/>
      <x:c r="D45" s="34" t="n">
        <x:f>SUM(D43:D44)</x:f>
        <x:v>22.416666666666668</x:v>
      </x:c>
      <x:c r="E45" s="2"/>
      <x:c r="F45" s="2"/>
      <x:c r="G45" s="2"/>
    </x:row>
    <x:row r="46" ht="23" customHeight="1">
      <x:c r="A46" s="2"/>
      <x:c r="B46" s="2" t="str">
        <x:v>Monthly variable delivery cost</x:v>
      </x:c>
      <x:c r="C46" s="2"/>
      <x:c r="D46" s="22" t="n">
        <x:f>D16*D45</x:f>
        <x:v>653.8194444444445</x:v>
      </x:c>
      <x:c r="E46" s="2"/>
      <x:c r="F46" s="2"/>
      <x:c r="G46" s="2"/>
    </x:row>
    <x:row r="47" ht="23" customHeight="1">
      <x:c r="A47" s="2"/>
      <x:c r="B47" s="2" t="str">
        <x:v>Recurring support and integration cost</x:v>
      </x:c>
      <x:c r="C47" s="2"/>
      <x:c r="D47" s="39" t="n">
        <x:f>'Assumptions'!D24</x:f>
        <x:v>400</x:v>
      </x:c>
      <x:c r="E47" s="2"/>
      <x:c r="F47" s="2"/>
      <x:c r="G47" s="2"/>
    </x:row>
    <x:row r="48" ht="23" customHeight="1">
      <x:c r="A48" s="2"/>
      <x:c r="B48" s="2" t="str">
        <x:v>One-time onboarding cost</x:v>
      </x:c>
      <x:c r="C48" s="2"/>
      <x:c r="D48" s="39" t="n">
        <x:f>'Assumptions'!D25*'Assumptions'!D26</x:f>
        <x:v>1000</x:v>
      </x:c>
      <x:c r="E48" s="2"/>
      <x:c r="F48" s="2"/>
      <x:c r="G48" s="2"/>
    </x:row>
    <x:row r="49" ht="23" customHeight="1">
      <x:c r="A49" s="2"/>
      <x:c r="B49" s="2" t="str">
        <x:v>Allocated monthly onboarding cost</x:v>
      </x:c>
      <x:c r="C49" s="2"/>
      <x:c r="D49" s="39" t="n">
        <x:f>IF('Assumptions'!D27&gt;0,D48/'Assumptions'!D27,"n.a.")</x:f>
        <x:v>83.33333333333333</x:v>
      </x:c>
      <x:c r="E49" s="2"/>
      <x:c r="F49" s="2" t="str">
        <x:v>The one-time cash outlay is shown above. Allocation spreads it over the assumed period.</x:v>
      </x:c>
      <x:c r="G49" s="2"/>
    </x:row>
    <x:row r="50" ht="23" customHeight="1">
      <x:c r="A50" s="2"/>
      <x:c r="B50" s="26" t="str">
        <x:v>Total monthly customer delivery cost</x:v>
      </x:c>
      <x:c r="C50" s="26"/>
      <x:c r="D50" s="27" t="n">
        <x:f>SUM(D46:D47,D49)</x:f>
        <x:v>1137.1527777777776</x:v>
      </x:c>
      <x:c r="E50" s="2"/>
      <x:c r="F50" s="2"/>
      <x:c r="G50" s="2"/>
    </x:row>
    <x:row r="51" ht="23" customHeight="1">
      <x:c r="A51" s="2"/>
      <x:c r="B51" s="26" t="str">
        <x:v>Provider contribution</x:v>
      </x:c>
      <x:c r="C51" s="26"/>
      <x:c r="D51" s="27" t="n">
        <x:f>D35-D50</x:f>
        <x:v>1779.5138888888894</x:v>
      </x:c>
      <x:c r="E51" s="2"/>
      <x:c r="F51" s="2"/>
      <x:c r="G51" s="2"/>
    </x:row>
    <x:row r="52" ht="23" customHeight="1">
      <x:c r="A52" s="2"/>
      <x:c r="B52" s="2" t="str">
        <x:v>Provider contribution margin</x:v>
      </x:c>
      <x:c r="C52" s="2"/>
      <x:c r="D52" s="23" t="n">
        <x:f>IF(D35=0,"n.a.",D51/D35)</x:f>
        <x:v>0.6101190476190477</x:v>
      </x:c>
      <x:c r="E52" s="2"/>
      <x:c r="F52" s="2"/>
      <x:c r="G52" s="2"/>
    </x:row>
    <x:row r="53" ht="23" customHeight="1">
      <x:c r="A53" s="2"/>
      <x:c r="B53" s="2"/>
      <x:c r="C53" s="2"/>
      <x:c r="D53" s="17"/>
      <x:c r="E53" s="2"/>
      <x:c r="F53" s="2"/>
      <x:c r="G53" s="2"/>
    </x:row>
    <x:row r="54" ht="23" customHeight="1">
      <x:c r="A54" s="2"/>
      <x:c r="B54" s="2"/>
      <x:c r="C54" s="2"/>
      <x:c r="D54" s="17"/>
      <x:c r="E54" s="2"/>
      <x:c r="F54" s="2"/>
      <x:c r="G54" s="2"/>
    </x:row>
    <x:row r="55" ht="24" customHeight="1">
      <x:c r="A55" s="2"/>
      <x:c r="B55" s="20" t="str">
        <x:v>Price and volume constraints</x:v>
      </x:c>
      <x:c r="C55" s="20"/>
      <x:c r="D55" s="21"/>
      <x:c r="E55" s="2"/>
      <x:c r="F55" s="2"/>
      <x:c r="G55" s="2"/>
    </x:row>
    <x:row r="56" ht="23" customHeight="1">
      <x:c r="A56" s="2"/>
      <x:c r="B56" s="2" t="str">
        <x:v>Buyer zero-net-value total monthly price</x:v>
      </x:c>
      <x:c r="C56" s="2"/>
      <x:c r="D56" s="22" t="n">
        <x:f>D34</x:f>
        <x:v>6489.583333333334</x:v>
      </x:c>
      <x:c r="E56" s="2"/>
      <x:c r="F56" s="2" t="str">
        <x:v>A mathematical ceiling before leaving the customer any return; not a recommended price.</x:v>
      </x:c>
      <x:c r="G56" s="2"/>
    </x:row>
    <x:row r="57" ht="23" customHeight="1">
      <x:c r="A57" s="2"/>
      <x:c r="B57" s="2" t="str">
        <x:v>Provider zero-contribution monthly price</x:v>
      </x:c>
      <x:c r="C57" s="2"/>
      <x:c r="D57" s="22" t="n">
        <x:f>D50</x:f>
        <x:v>1137.1527777777776</x:v>
      </x:c>
      <x:c r="E57" s="2"/>
      <x:c r="F57" s="2"/>
      <x:c r="G57" s="2"/>
    </x:row>
    <x:row r="58" ht="23" customHeight="1">
      <x:c r="A58" s="2"/>
      <x:c r="B58" s="26" t="str">
        <x:v>Price room before buyer/provider surplus</x:v>
      </x:c>
      <x:c r="C58" s="26"/>
      <x:c r="D58" s="27" t="n">
        <x:f>D56-D57</x:f>
        <x:v>5352.430555555557</x:v>
      </x:c>
      <x:c r="E58" s="2"/>
      <x:c r="F58" s="2" t="str">
        <x:v>Negative means no price satisfies both sides under these assumptions.</x:v>
      </x:c>
      <x:c r="G58" s="2"/>
    </x:row>
    <x:row r="59" ht="23" customHeight="1">
      <x:c r="A59" s="2"/>
      <x:c r="B59" s="2" t="str">
        <x:v>Provider contribution per additional turn</x:v>
      </x:c>
      <x:c r="C59" s="2"/>
      <x:c r="D59" s="42" t="n">
        <x:f>'Assumptions'!D18-D45</x:f>
        <x:v>77.58333333333333</x:v>
      </x:c>
      <x:c r="E59" s="2"/>
      <x:c r="F59" s="2"/>
      <x:c r="G59" s="2"/>
    </x:row>
    <x:row r="60" ht="23" customHeight="1">
      <x:c r="A60" s="2"/>
      <x:c r="B60" s="2" t="str">
        <x:v>Recurring cost less platform fee</x:v>
      </x:c>
      <x:c r="C60" s="2"/>
      <x:c r="D60" s="39" t="n">
        <x:f>SUM(D47,D49)-'Assumptions'!D17</x:f>
        <x:v>483.3333333333333</x:v>
      </x:c>
      <x:c r="E60" s="2"/>
      <x:c r="F60" s="2"/>
      <x:c r="G60" s="2"/>
    </x:row>
    <x:row r="61" ht="23" customHeight="1">
      <x:c r="A61" s="2"/>
      <x:c r="B61" s="2" t="str">
        <x:v>Minimum serviced turns for provider break-even</x:v>
      </x:c>
      <x:c r="C61" s="2"/>
      <x:c r="D61" s="28" t="n">
        <x:f>IF(D59&gt;0,MAX(0,ROUNDUP(D60/D59,0)),IF(D59=0,IF(D60&lt;=0,0,"n.a."),"n.a."))</x:f>
        <x:v>7</x:v>
      </x:c>
      <x:c r="E61" s="2"/>
      <x:c r="F61" s="2" t="str">
        <x:v>When per-turn contribution is negative, more volume worsens contribution.</x:v>
      </x:c>
      <x:c r="G61" s="2"/>
    </x:row>
    <x:row r="62" ht="23" customHeight="1">
      <x:c r="A62" s="2"/>
      <x:c r="B62" s="2" t="str">
        <x:v>Maximum turns if unit contribution is negative</x:v>
      </x:c>
      <x:c r="C62" s="2"/>
      <x:c r="D62" s="28" t="str">
        <x:f>IF(D59&lt;0,IF(D60&lt;=0,ROUNDDOWN(-D60/-D59,0),"n.a."),"n.a.")</x:f>
        <x:v>n.a.</x:v>
      </x:c>
      <x:c r="E62" s="2"/>
      <x:c r="F62" s="2" t="str">
        <x:v>Only relevant when platform fees cover fixed cost but each extra turn loses money.</x:v>
      </x:c>
      <x:c r="G62" s="2"/>
    </x:row>
    <x:row r="63" ht="23" customHeight="1">
      <x:c r="A63" s="2"/>
      <x:c r="B63" s="2"/>
      <x:c r="C63" s="2"/>
      <x:c r="D63" s="17"/>
      <x:c r="E63" s="2"/>
      <x:c r="F63" s="2"/>
      <x:c r="G63" s="2"/>
    </x:row>
    <x:row r="64" ht="23" customHeight="1">
      <x:c r="A64" s="2"/>
      <x:c r="B64" s="2" t="str">
        <x:v>Provider minimum turn price at current volume</x:v>
      </x:c>
      <x:c r="C64" s="2"/>
      <x:c r="D64" s="42" t="n">
        <x:f>IF(D16=0,"n.a.",MAX(0,(D50-'Assumptions'!D17)/D16))</x:f>
        <x:v>38.988095238095234</x:v>
      </x:c>
      <x:c r="E64" s="2"/>
      <x:c r="F64" s="2"/>
      <x:c r="G64" s="2"/>
    </x:row>
    <x:row r="65" ht="23" customHeight="1">
      <x:c r="A65" s="2"/>
      <x:c r="B65" s="2" t="str">
        <x:v>Buyer maximum turn price at current volume</x:v>
      </x:c>
      <x:c r="C65" s="2"/>
      <x:c r="D65" s="42" t="n">
        <x:f>IF(D16=0,"n.a.",(D34-'Assumptions'!D17)/D16)</x:f>
        <x:v>222.5</x:v>
      </x:c>
      <x:c r="E65" s="2"/>
      <x:c r="F65" s="2"/>
      <x:c r="G65" s="2"/>
    </x:row>
    <x:row r="66" ht="23" customHeight="1">
      <x:c r="A66" s="2"/>
      <x:c r="B66" s="2" t="str">
        <x:v>Turn price at provider contribution target</x:v>
      </x:c>
      <x:c r="C66" s="2"/>
      <x:c r="D66" s="32" t="n">
        <x:f>IF(OR(D16=0,'Assumptions'!D31&gt;=1),"n.a.",MAX(0,(D50/(1-'Assumptions'!D31)-'Assumptions'!D17)/D16))</x:f>
        <x:v>97.47023809523807</x:v>
      </x:c>
      <x:c r="E66" s="2"/>
      <x:c r="F66" s="2" t="str">
        <x:v>Uses the editable contribution target. This still excludes central overhead and customer acquisition.</x:v>
      </x:c>
      <x:c r="G66" s="2"/>
    </x:row>
    <x:row r="67" ht="23" customHeight="1">
      <x:c r="A67" s="2"/>
      <x:c r="B67" s="2" t="str">
        <x:v>Collected rent days needed for buyer break-even</x:v>
      </x:c>
      <x:c r="C67" s="2"/>
      <x:c r="D67" s="35" t="n">
        <x:f>IF(D16*'Assumptions'!D28*('Assumptions'!D15+(1-'Assumptions'!D15)*D30)=0,"n.a.",MAX(0,(D35-D19-D23*D30)/(D16*'Assumptions'!D28/'Assumptions'!D30*('Assumptions'!D15+(1-'Assumptions'!D15)*D30))))</x:f>
        <x:v>1.1625</x:v>
      </x:c>
      <x:c r="E67" s="2"/>
      <x:c r="F67" s="2" t="str">
        <x:v>Includes realized labor and expense savings; depends on which party captures recovered rent.</x:v>
      </x:c>
      <x:c r="G67" s="2"/>
    </x:row>
    <x:row r="68" ht="24" customHeight="1">
      <x:c r="A68" s="2"/>
      <x:c r="B68" s="20" t="str">
        <x:v>Reconciliation and scope</x:v>
      </x:c>
      <x:c r="C68" s="20"/>
      <x:c r="D68" s="21"/>
      <x:c r="E68" s="2"/>
      <x:c r="F68" s="2"/>
      <x:c r="G68" s="2"/>
    </x:row>
    <x:row r="69" ht="23" customHeight="1">
      <x:c r="A69" s="2"/>
      <x:c r="B69" s="2" t="str">
        <x:v>Value allocation difference</x:v>
      </x:c>
      <x:c r="C69" s="2"/>
      <x:c r="D69" s="35" t="n">
        <x:f>SUM(D29,D31,D32)-SUM(D19,D25)</x:f>
        <x:v>0</x:v>
      </x:c>
      <x:c r="E69" s="2"/>
      <x:c r="F69" s="2" t="str">
        <x:v>Should equal zero. Manager fees transfer owner value; they do not create extra value.</x:v>
      </x:c>
      <x:c r="G69" s="2"/>
    </x:row>
    <x:row r="70" ht="23" customHeight="1">
      <x:c r="A70" s="2"/>
      <x:c r="B70" s="2"/>
      <x:c r="C70" s="2"/>
      <x:c r="D70" s="2"/>
      <x:c r="E70" s="2"/>
      <x:c r="F70" s="2"/>
      <x:c r="G70" s="2"/>
    </x:row>
    <x:row r="71" ht="23" customHeight="1">
      <x:c r="A71" s="2"/>
      <x:c r="B71" s="2" t="str">
        <x:v>Resident safety, service quality, retention and trust are not monetized here.</x:v>
      </x:c>
      <x:c r="C71" s="2"/>
      <x:c r="D71" s="2"/>
      <x:c r="E71" s="2"/>
      <x:c r="F71" s="2"/>
      <x:c r="G71" s="2"/>
    </x:row>
    <x:row r="72" ht="23" customHeight="1">
      <x:c r="A72" s="2"/>
      <x:c r="B72" s="2" t="str">
        <x:v>Do not add reduced payroll and an avoided hire for the same saved hours.</x:v>
      </x:c>
      <x:c r="C72" s="2"/>
      <x:c r="D72" s="2"/>
      <x:c r="E72" s="2"/>
      <x:c r="F72" s="2"/>
      <x:c r="G72" s="2"/>
    </x:row>
    <x:row r="73" ht="23" customHeight="1">
      <x:c r="A73" s="2"/>
      <x:c r="B73" s="2" t="str">
        <x:v>All eligible items are assumed served and billable. Test failures, refunds and exclusions during pilots.</x:v>
      </x:c>
      <x:c r="C73" s="2"/>
      <x:c r="D73" s="2"/>
      <x:c r="E73" s="2"/>
      <x:c r="F73" s="2"/>
      <x:c r="G73" s="2"/>
    </x:row>
    <x:row r="74" ht="23" customHeight="1">
      <x:c r="A74" s="2"/>
      <x:c r="B74" s="2"/>
      <x:c r="C74" s="2"/>
      <x:c r="D74" s="2"/>
      <x:c r="E74" s="2"/>
      <x:c r="F74" s="2"/>
      <x:c r="G74" s="2"/>
    </x:row>
    <x:row r="75" ht="23" customHeight="1">
      <x:c r="A75" s="2"/>
      <x:c r="B75" s="2"/>
      <x:c r="C75" s="2"/>
      <x:c r="D75" s="2"/>
      <x:c r="E75" s="2"/>
      <x:c r="F75" s="2"/>
      <x:c r="G75" s="2"/>
    </x:row>
    <x:row r="76" ht="23" customHeight="1">
      <x:c r="A76" s="2"/>
      <x:c r="B76" s="2"/>
      <x:c r="C76" s="2"/>
      <x:c r="D76" s="2"/>
      <x:c r="E76" s="2"/>
      <x:c r="F76" s="2"/>
      <x:c r="G76" s="2"/>
    </x:row>
    <x:row r="77" ht="23" customHeight="1">
      <x:c r="A77" s="2"/>
      <x:c r="B77" s="2"/>
      <x:c r="C77" s="2"/>
      <x:c r="D77" s="2"/>
      <x:c r="E77" s="2"/>
      <x:c r="F77" s="2"/>
      <x:c r="G77" s="2"/>
    </x:row>
  </x:sheetData>
  <x:conditionalFormatting sqref="D7:D7">
    <x:cfRule type="cellIs" dxfId="0" priority="1" operator="lessThan">
      <x:formula>0</x:formula>
    </x:cfRule>
  </x:conditionalFormatting>
  <x:conditionalFormatting sqref="D9:D9">
    <x:cfRule type="cellIs" dxfId="1" priority="2" operator="lessThan">
      <x:formula>0</x:formula>
    </x:cfRule>
  </x:conditionalFormatting>
  <x:conditionalFormatting sqref="D36:D36">
    <x:cfRule type="cellIs" dxfId="2" priority="3" operator="lessThan">
      <x:formula>0</x:formula>
    </x:cfRule>
  </x:conditionalFormatting>
  <x:conditionalFormatting sqref="D51:D51">
    <x:cfRule type="cellIs" dxfId="3" priority="4" operator="lessThan">
      <x:formula>0</x:formula>
    </x:cfRule>
  </x:conditionalFormatting>
  <x:conditionalFormatting sqref="D58:D58">
    <x:cfRule type="cellIs" dxfId="4" priority="5" operator="lessThan">
      <x:formula>0</x:formula>
    </x:cfRule>
  </x:conditionalFormatting>
  <x:conditionalFormatting sqref="D69:D69">
    <x:cfRule type="cellIs" dxfId="5" priority="6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9758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9" hidden="0" customWidth="1"/>
    <x:col min="4" max="4" width="16" hidden="0" customWidth="1"/>
    <x:col min="5" max="5" width="3" hidden="0" customWidth="1"/>
    <x:col min="6" max="6" width="7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2"/>
      <x:c r="B2" s="3" t="str">
        <x:v>Editable assumptions</x:v>
      </x:c>
      <x:c r="C2" s="2"/>
      <x:c r="D2" s="2"/>
      <x:c r="E2" s="2"/>
      <x:c r="F2" s="2"/>
      <x:c r="G2" s="2"/>
    </x:row>
    <x:row r="3">
      <x:c r="A3" s="2"/>
      <x:c r="B3" s="4"/>
      <x:c r="C3" s="4"/>
      <x:c r="D3" s="4"/>
      <x:c r="E3" s="4"/>
      <x:c r="F3" s="4"/>
      <x:c r="G3" s="2"/>
    </x:row>
    <x:row r="4">
      <x:c r="A4" s="2"/>
      <x:c r="B4" s="5" t="str">
        <x:v>Vacant-unit readiness. All commercial inputs are illustrative, not measured results.</x:v>
      </x:c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25" customHeight="1">
      <x:c r="A6" s="2"/>
      <x:c r="B6" s="7" t="str">
        <x:v>Input</x:v>
      </x:c>
      <x:c r="C6" s="7" t="str">
        <x:v>Unit</x:v>
      </x:c>
      <x:c r="D6" s="7" t="str">
        <x:v>Value</x:v>
      </x:c>
      <x:c r="E6" s="2"/>
      <x:c r="F6" s="7" t="str">
        <x:v>Definition and measurement</x:v>
      </x:c>
      <x:c r="G6" s="2"/>
    </x:row>
    <x:row r="7" ht="42" customHeight="1">
      <x:c r="A7" s="2"/>
      <x:c r="B7" s="12" t="str">
        <x:v>Managed units</x:v>
      </x:c>
      <x:c r="C7" s="2" t="str">
        <x:v>units</x:v>
      </x:c>
      <x:c r="D7" s="11" t="n">
        <x:v>1000</x:v>
      </x:c>
      <x:c r="E7" s="2"/>
      <x:c r="F7" s="12" t="str">
        <x:v>Illustration; replace with the actual portfolio.</x:v>
      </x:c>
      <x:c r="G7" s="2"/>
    </x:row>
    <x:row r="8" ht="42" customHeight="1">
      <x:c r="A8" s="2"/>
      <x:c r="B8" s="12" t="str">
        <x:v>Annual turnover share</x:v>
      </x:c>
      <x:c r="C8" s="2" t="str">
        <x:v>share</x:v>
      </x:c>
      <x:c r="D8" s="13" t="n">
        <x:v>0.35</x:v>
      </x:c>
      <x:c r="E8" s="2"/>
      <x:c r="F8" s="12" t="str">
        <x:v>Turn illustration, not repair-ticket volume. This is an assumption, not a market estimate.</x:v>
      </x:c>
      <x:c r="G8" s="2"/>
    </x:row>
    <x:row r="9" ht="42" customHeight="1">
      <x:c r="A9" s="2"/>
      <x:c r="B9" s="12" t="str">
        <x:v>Share of turns eligible for the paid service</x:v>
      </x:c>
      <x:c r="C9" s="2" t="str">
        <x:v>share</x:v>
      </x:c>
      <x:c r="D9" s="13" t="n">
        <x:v>1</x:v>
      </x:c>
      <x:c r="E9" s="2"/>
      <x:c r="F9" s="12" t="str">
        <x:v>Measure eligibility against an explicit scope, before choosing completed examples.</x:v>
      </x:c>
      <x:c r="G9" s="2"/>
    </x:row>
    <x:row r="10" ht="42" customHeight="1">
      <x:c r="A10" s="2"/>
      <x:c r="B10" s="12" t="str">
        <x:v>Net manager minutes saved per serviced turn</x:v>
      </x:c>
      <x:c r="C10" s="2" t="str">
        <x:v>minutes/turn</x:v>
      </x:c>
      <x:c r="D10" s="11" t="n">
        <x:v>60</x:v>
      </x:c>
      <x:c r="E10" s="2"/>
      <x:c r="F10" s="12" t="str">
        <x:v>Deduct new review, correction and escalation work before entering this value.</x:v>
      </x:c>
      <x:c r="G10" s="2"/>
    </x:row>
    <x:row r="11" ht="42" customHeight="1">
      <x:c r="A11" s="2"/>
      <x:c r="B11" s="12" t="str">
        <x:v>Loaded manager labor cost per hour</x:v>
      </x:c>
      <x:c r="C11" s="2" t="str">
        <x:v>USD/hour</x:v>
      </x:c>
      <x:c r="D11" s="14" t="n">
        <x:v>45</x:v>
      </x:c>
      <x:c r="E11" s="2"/>
      <x:c r="F11" s="12" t="str">
        <x:v>Illustrative loaded labor cost; not a measured employer burden.</x:v>
      </x:c>
      <x:c r="G11" s="2"/>
    </x:row>
    <x:row r="12" ht="42" customHeight="1">
      <x:c r="A12" s="2"/>
      <x:c r="B12" s="12" t="str">
        <x:v>Share of saved time converted to cash value</x:v>
      </x:c>
      <x:c r="C12" s="2" t="str">
        <x:v>share</x:v>
      </x:c>
      <x:c r="D12" s="13" t="n">
        <x:v>0.5</x:v>
      </x:c>
      <x:c r="E12" s="2"/>
      <x:c r="F12" s="12" t="str">
        <x:v>Count reduced paid time, avoided hires, or evidenced contribution; not all freed capacity.</x:v>
      </x:c>
      <x:c r="G12" s="2"/>
    </x:row>
    <x:row r="13" ht="42" customHeight="1">
      <x:c r="A13" s="2"/>
      <x:c r="B13" s="12" t="str">
        <x:v>Owner actual expense reduction per turn</x:v>
      </x:c>
      <x:c r="C13" s="2" t="str">
        <x:v>USD/turn</x:v>
      </x:c>
      <x:c r="D13" s="14" t="n">
        <x:v>0</x:v>
      </x:c>
      <x:c r="E13" s="2"/>
      <x:c r="F13" s="12" t="str">
        <x:v>No cost savings assumed. Replace only with demonstrated actual expense reductions.</x:v>
      </x:c>
      <x:c r="G13" s="2"/>
    </x:row>
    <x:row r="14" ht="42" customHeight="1">
      <x:c r="A14" s="2"/>
      <x:c r="B14" s="12" t="str">
        <x:v>Owner added collected revenue per turn</x:v>
      </x:c>
      <x:c r="C14" s="2" t="str">
        <x:v>USD/turn</x:v>
      </x:c>
      <x:c r="D14" s="16" t="n">
        <x:f>IF(COUNT(D28:D30)&lt;3,"n.a.",IF(D30&gt;0,D28*D29/D30,"n.a."))</x:f>
        <x:v>200</x:v>
      </x:c>
      <x:c r="E14" s="2"/>
      <x:c r="F14" s="12" t="str">
        <x:v>Calculated from monthly rent and collected rent days recovered below.</x:v>
      </x:c>
      <x:c r="G14" s="2"/>
    </x:row>
    <x:row r="15" ht="42" customHeight="1">
      <x:c r="A15" s="2"/>
      <x:c r="B15" s="12" t="str">
        <x:v>Manager marginal fee on added revenue</x:v>
      </x:c>
      <x:c r="C15" s="2" t="str">
        <x:v>share</x:v>
      </x:c>
      <x:c r="D15" s="13" t="n">
        <x:v>0.08</x:v>
      </x:c>
      <x:c r="E15" s="2"/>
      <x:c r="F15" s="12" t="str">
        <x:v>Applies only to additional collected revenue, not owner expense savings.</x:v>
      </x:c>
      <x:c r="G15" s="2"/>
    </x:row>
    <x:row r="16" ht="42" customHeight="1">
      <x:c r="A16" s="2"/>
      <x:c r="B16" s="12" t="str">
        <x:v>Buyer share of remaining owner economics</x:v>
      </x:c>
      <x:c r="C16" s="2" t="str">
        <x:v>share</x:v>
      </x:c>
      <x:c r="D16" s="13" t="n">
        <x:v>1</x:v>
      </x:c>
      <x:c r="E16" s="2"/>
      <x:c r="F16" s="12" t="str">
        <x:v>1 = integrated owner/operator; 0 = independent manager. Intermediate shares require a real contract.</x:v>
      </x:c>
      <x:c r="G16" s="2"/>
    </x:row>
    <x:row r="17" ht="42" customHeight="1">
      <x:c r="A17" s="2"/>
      <x:c r="B17" s="12" t="str">
        <x:v>Monthly platform price</x:v>
      </x:c>
      <x:c r="C17" s="2" t="str">
        <x:v>USD/month</x:v>
      </x:c>
      <x:c r="D17" s="14" t="n">
        <x:v>0</x:v>
      </x:c>
      <x:c r="E17" s="2"/>
      <x:c r="F17" s="12" t="str">
        <x:v>Test price only. Compare total price with the cost floor and buyer benefit ceiling.</x:v>
      </x:c>
      <x:c r="G17" s="2"/>
    </x:row>
    <x:row r="18" ht="42" customHeight="1">
      <x:c r="A18" s="2"/>
      <x:c r="B18" s="12" t="str">
        <x:v>Price per eligible serviced turn</x:v>
      </x:c>
      <x:c r="C18" s="2" t="str">
        <x:v>USD/turn</x:v>
      </x:c>
      <x:c r="D18" s="14" t="n">
        <x:v>100</x:v>
      </x:c>
      <x:c r="E18" s="2"/>
      <x:c r="F18" s="12" t="str">
        <x:v>Illustrative test quote, not a market rate. The workbook separately calculates economic bounds.</x:v>
      </x:c>
      <x:c r="G18" s="2"/>
    </x:row>
    <x:row r="19" ht="42" customHeight="1">
      <x:c r="A19" s="2"/>
      <x:c r="B19" s="12" t="str">
        <x:v>Routine provider human minutes per turn</x:v>
      </x:c>
      <x:c r="C19" s="2" t="str">
        <x:v>minutes/turn</x:v>
      </x:c>
      <x:c r="D19" s="11" t="n">
        <x:v>20</x:v>
      </x:c>
      <x:c r="E19" s="2"/>
      <x:c r="F19" s="12" t="str">
        <x:v>Unvalidated handling assumption. Include monitoring and routine corrections.</x:v>
      </x:c>
      <x:c r="G19" s="2"/>
    </x:row>
    <x:row r="20" ht="42" customHeight="1">
      <x:c r="A20" s="2"/>
      <x:c r="B20" s="12" t="str">
        <x:v>Share of serviced turns with an exception</x:v>
      </x:c>
      <x:c r="C20" s="2" t="str">
        <x:v>share</x:v>
      </x:c>
      <x:c r="D20" s="13" t="n">
        <x:v>0.25</x:v>
      </x:c>
      <x:c r="E20" s="2"/>
      <x:c r="F20" s="12" t="str">
        <x:v>Unvalidated assumption. Count exceptions over all eligible serviced turns.</x:v>
      </x:c>
      <x:c r="G20" s="2"/>
    </x:row>
    <x:row r="21" ht="42" customHeight="1">
      <x:c r="A21" s="2"/>
      <x:c r="B21" s="12" t="str">
        <x:v>Additional provider minutes per exception</x:v>
      </x:c>
      <x:c r="C21" s="2" t="str">
        <x:v>minutes/exception</x:v>
      </x:c>
      <x:c r="D21" s="11" t="n">
        <x:v>60</x:v>
      </x:c>
      <x:c r="E21" s="2"/>
      <x:c r="F21" s="12" t="str">
        <x:v>Unvalidated handling assumption. Additional to routine work; measure the tail.</x:v>
      </x:c>
      <x:c r="G21" s="2"/>
    </x:row>
    <x:row r="22" ht="42" customHeight="1">
      <x:c r="A22" s="2"/>
      <x:c r="B22" s="12" t="str">
        <x:v>Loaded provider human cost per hour</x:v>
      </x:c>
      <x:c r="C22" s="2" t="str">
        <x:v>USD/hour</x:v>
      </x:c>
      <x:c r="D22" s="14" t="n">
        <x:v>35</x:v>
      </x:c>
      <x:c r="E22" s="2"/>
      <x:c r="F22" s="12" t="str">
        <x:v>Illustrative blended handling cost.</x:v>
      </x:c>
      <x:c r="G22" s="2"/>
    </x:row>
    <x:row r="23" ht="42" customHeight="1">
      <x:c r="A23" s="2"/>
      <x:c r="B23" s="12" t="str">
        <x:v>Model and communications cost per turn</x:v>
      </x:c>
      <x:c r="C23" s="2" t="str">
        <x:v>USD/turn</x:v>
      </x:c>
      <x:c r="D23" s="14" t="n">
        <x:v>2</x:v>
      </x:c>
      <x:c r="E23" s="2"/>
      <x:c r="F23" s="12" t="str">
        <x:v>Include model calls, telephone, SMS and other volume-linked service costs.</x:v>
      </x:c>
      <x:c r="G23" s="2"/>
    </x:row>
    <x:row r="24" ht="42" customHeight="1">
      <x:c r="A24" s="2"/>
      <x:c r="B24" s="12" t="str">
        <x:v>Recurring support and integration cost</x:v>
      </x:c>
      <x:c r="C24" s="2" t="str">
        <x:v>USD/month</x:v>
      </x:c>
      <x:c r="D24" s="14" t="n">
        <x:v>400</x:v>
      </x:c>
      <x:c r="E24" s="2"/>
      <x:c r="F24" s="12" t="str">
        <x:v>Customer-specific maintenance/support, excluding per-turn human handling above.</x:v>
      </x:c>
      <x:c r="G24" s="2"/>
    </x:row>
    <x:row r="25" ht="42" customHeight="1">
      <x:c r="A25" s="2"/>
      <x:c r="B25" s="12" t="str">
        <x:v>One-time onboarding and integration hours</x:v>
      </x:c>
      <x:c r="C25" s="2" t="str">
        <x:v>hours</x:v>
      </x:c>
      <x:c r="D25" s="11" t="n">
        <x:v>20</x:v>
      </x:c>
      <x:c r="E25" s="2"/>
      <x:c r="F25" s="12" t="str">
        <x:v>Include implementation, configuration and initial data cleanup.</x:v>
      </x:c>
      <x:c r="G25" s="2"/>
    </x:row>
    <x:row r="26" ht="42" customHeight="1">
      <x:c r="A26" s="2"/>
      <x:c r="B26" s="12" t="str">
        <x:v>Loaded onboarding cost per hour</x:v>
      </x:c>
      <x:c r="C26" s="2" t="str">
        <x:v>USD/hour</x:v>
      </x:c>
      <x:c r="D26" s="14" t="n">
        <x:v>50</x:v>
      </x:c>
      <x:c r="E26" s="2"/>
      <x:c r="F26" s="12" t="str">
        <x:v>Illustrative implementation labor cost.</x:v>
      </x:c>
      <x:c r="G26" s="2"/>
    </x:row>
    <x:row r="27" ht="42" customHeight="1">
      <x:c r="A27" s="2"/>
      <x:c r="B27" s="12" t="str">
        <x:v>Months to allocate onboarding cost</x:v>
      </x:c>
      <x:c r="C27" s="2" t="str">
        <x:v>months</x:v>
      </x:c>
      <x:c r="D27" s="11" t="n">
        <x:v>12</x:v>
      </x:c>
      <x:c r="E27" s="2"/>
      <x:c r="F27" s="12" t="str">
        <x:v>Management contribution view; not a cash-flow forecast.</x:v>
      </x:c>
      <x:c r="G27" s="2"/>
    </x:row>
    <x:row r="28" ht="42" customHeight="1">
      <x:c r="A28" s="2"/>
      <x:c r="B28" s="12" t="str">
        <x:v>Monthly rent for the average turning unit</x:v>
      </x:c>
      <x:c r="C28" s="2" t="str">
        <x:v>USD/month</x:v>
      </x:c>
      <x:c r="D28" s="14" t="n">
        <x:v>2000</x:v>
      </x:c>
      <x:c r="E28" s="2"/>
      <x:c r="F28" s="12" t="str">
        <x:v>Illustration. Replace with the actual units entering the measured turn cohort.</x:v>
      </x:c>
      <x:c r="G28" s="2"/>
    </x:row>
    <x:row r="29" ht="42" customHeight="1">
      <x:c r="A29" s="2"/>
      <x:c r="B29" s="12" t="str">
        <x:v>Collected rent days recovered per turn</x:v>
      </x:c>
      <x:c r="C29" s="2" t="str">
        <x:v>days/turn</x:v>
      </x:c>
      <x:c r="D29" s="11" t="n">
        <x:v>3</x:v>
      </x:c>
      <x:c r="E29" s="2"/>
      <x:c r="F29" s="12" t="str">
        <x:v>Pure stress input, not expected savings. Readiness matters only when days become collected rent.</x:v>
      </x:c>
      <x:c r="G29" s="2"/>
    </x:row>
    <x:row r="30" ht="42" customHeight="1">
      <x:c r="A30" s="2"/>
      <x:c r="B30" s="12" t="str">
        <x:v>Days in monthly-rent conversion</x:v>
      </x:c>
      <x:c r="C30" s="2" t="str">
        <x:v>days/month</x:v>
      </x:c>
      <x:c r="D30" s="11" t="n">
        <x:v>30</x:v>
      </x:c>
      <x:c r="E30" s="2"/>
      <x:c r="F30" s="12" t="str">
        <x:v>Explicit pricing convention for the illustration. Use the contract or accounting convention.</x:v>
      </x:c>
      <x:c r="G30" s="2"/>
    </x:row>
    <x:row r="31" ht="42" customHeight="1">
      <x:c r="A31" s="2"/>
      <x:c r="B31" s="12" t="str">
        <x:v>Provider contribution target for price test</x:v>
      </x:c>
      <x:c r="C31" s="2" t="str">
        <x:v>share</x:v>
      </x:c>
      <x:c r="D31" s="13" t="n">
        <x:v>0.6</x:v>
      </x:c>
      <x:c r="E31" s="2"/>
      <x:c r="F31" s="12" t="str">
        <x:v>Optional pricing assumption. Illustrative 60%, before sales, central engineering, overhead and taxes.</x:v>
      </x:c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 t="str">
        <x:v>Yellow cells are editable inputs. Collected rent recovery and time conversion need field validation.</x:v>
      </x:c>
      <x:c r="C33" s="2"/>
      <x:c r="D33" s="2"/>
      <x:c r="E33" s="2"/>
      <x:c r="F33" s="2"/>
      <x:c r="G33" s="2"/>
    </x:row>
    <x:row r="34">
      <x:c r="A34" s="2"/>
      <x:c r="B34" s="2" t="str">
        <x:v>The model keeps manager fees, owner economics and service-provider costs separate.</x:v>
      </x:c>
      <x:c r="C34" s="2"/>
      <x:c r="D34" s="2"/>
      <x:c r="E34" s="2"/>
      <x:c r="F34" s="2"/>
      <x:c r="G34" s="2"/>
    </x:row>
  </x:sheetData>
  <x:dataValidations count="7">
    <x:dataValidation type="decimal" operator="between" sqref="D8">
      <x:formula1>0</x:formula1>
      <x:formula2>1</x:formula2>
    </x:dataValidation>
    <x:dataValidation type="decimal" operator="between" sqref="D9">
      <x:formula1>0</x:formula1>
      <x:formula2>1</x:formula2>
    </x:dataValidation>
    <x:dataValidation type="decimal" operator="between" sqref="D12">
      <x:formula1>0</x:formula1>
      <x:formula2>1</x:formula2>
    </x:dataValidation>
    <x:dataValidation type="decimal" operator="between" sqref="D15">
      <x:formula1>0</x:formula1>
      <x:formula2>1</x:formula2>
    </x:dataValidation>
    <x:dataValidation type="decimal" operator="between" sqref="D16">
      <x:formula1>0</x:formula1>
      <x:formula2>1</x:formula2>
    </x:dataValidation>
    <x:dataValidation type="decimal" operator="between" sqref="D20">
      <x:formula1>0</x:formula1>
      <x:formula2>1</x:formula2>
    </x:dataValidation>
    <x:dataValidation type="decimal" operator="between" sqref="D31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2"/>
      <x:c r="B2" s="3" t="str">
        <x:v>What changes the economics</x:v>
      </x:c>
      <x:c r="C2" s="2"/>
      <x:c r="D2" s="2"/>
      <x:c r="E2" s="2"/>
      <x:c r="F2" s="2"/>
      <x:c r="G2" s="2"/>
      <x:c r="H2" s="2"/>
    </x:row>
    <x:row r="3">
      <x:c r="A3" s="2"/>
      <x:c r="B3" s="4"/>
      <x:c r="C3" s="4"/>
      <x:c r="D3" s="4"/>
      <x:c r="E3" s="4"/>
      <x:c r="F3" s="4"/>
      <x:c r="G3" s="2"/>
      <x:c r="H3" s="2"/>
    </x:row>
    <x:row r="4">
      <x:c r="A4" s="2"/>
      <x:c r="B4" s="5" t="str">
        <x:v>Each table varies one assumption and keeps the current work volume and other inputs fixed.</x:v>
      </x:c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 t="str">
        <x:v>Provider exception rate</x:v>
      </x:c>
      <x:c r="C6" s="2"/>
      <x:c r="D6" s="2"/>
      <x:c r="E6" s="2"/>
      <x:c r="F6" s="2"/>
      <x:c r="G6" s="2"/>
      <x:c r="H6" s="2"/>
    </x:row>
    <x:row r="7" ht="34" customHeight="1">
      <x:c r="A7" s="2"/>
      <x:c r="B7" s="43" t="str">
        <x:v>Exception share</x:v>
      </x:c>
      <x:c r="C7" s="43" t="str">
        <x:v>Human min/turn</x:v>
      </x:c>
      <x:c r="D7" s="43" t="str">
        <x:v>Variable cost/turn</x:v>
      </x:c>
      <x:c r="E7" s="43" t="str">
        <x:v>Monthly contribution</x:v>
      </x:c>
      <x:c r="F7" s="43" t="str">
        <x:v>Contribution margin</x:v>
      </x:c>
      <x:c r="G7" s="2"/>
      <x:c r="H7" s="2"/>
    </x:row>
    <x:row r="8">
      <x:c r="A8" s="2"/>
      <x:c r="B8" s="48" t="n">
        <x:v>0</x:v>
      </x:c>
      <x:c r="C8" s="45" t="n">
        <x:f>'Assumptions'!$D$19+B8*'Assumptions'!$D$21</x:f>
        <x:v>20</x:v>
      </x:c>
      <x:c r="D8" s="46" t="n">
        <x:f>C8/60*'Assumptions'!$D$22+'Assumptions'!$D$23</x:f>
        <x:v>13.666666666666666</x:v>
      </x:c>
      <x:c r="E8" s="47" t="n">
        <x:f>'Economics'!$D$35-'Economics'!$D$16*D8-SUM('Economics'!$D$47,'Economics'!$D$49)</x:f>
        <x:v>2034.7222222222224</x:v>
      </x:c>
      <x:c r="F8" s="44" t="n">
        <x:f>IF('Economics'!$D$35=0,"n.a.",E8/'Economics'!$D$35)</x:f>
        <x:v>0.6976190476190476</x:v>
      </x:c>
      <x:c r="G8" s="2"/>
      <x:c r="H8" s="2"/>
    </x:row>
    <x:row r="9">
      <x:c r="A9" s="2"/>
      <x:c r="B9" s="48" t="n">
        <x:v>0.1</x:v>
      </x:c>
      <x:c r="C9" s="45" t="n">
        <x:f>'Assumptions'!$D$19+B9*'Assumptions'!$D$21</x:f>
        <x:v>26</x:v>
      </x:c>
      <x:c r="D9" s="46" t="n">
        <x:f>C9/60*'Assumptions'!$D$22+'Assumptions'!$D$23</x:f>
        <x:v>17.166666666666668</x:v>
      </x:c>
      <x:c r="E9" s="47" t="n">
        <x:f>'Economics'!$D$35-'Economics'!$D$16*D9-SUM('Economics'!$D$47,'Economics'!$D$49)</x:f>
        <x:v>1932.6388888888894</x:v>
      </x:c>
      <x:c r="F9" s="44" t="n">
        <x:f>IF('Economics'!$D$35=0,"n.a.",E9/'Economics'!$D$35)</x:f>
        <x:v>0.6626190476190477</x:v>
      </x:c>
      <x:c r="G9" s="2"/>
      <x:c r="H9" s="2"/>
    </x:row>
    <x:row r="10">
      <x:c r="A10" s="2"/>
      <x:c r="B10" s="48" t="n">
        <x:v>0.15</x:v>
      </x:c>
      <x:c r="C10" s="45" t="n">
        <x:f>'Assumptions'!$D$19+B10*'Assumptions'!$D$21</x:f>
        <x:v>29</x:v>
      </x:c>
      <x:c r="D10" s="46" t="n">
        <x:f>C10/60*'Assumptions'!$D$22+'Assumptions'!$D$23</x:f>
        <x:v>18.916666666666668</x:v>
      </x:c>
      <x:c r="E10" s="47" t="n">
        <x:f>'Economics'!$D$35-'Economics'!$D$16*D10-SUM('Economics'!$D$47,'Economics'!$D$49)</x:f>
        <x:v>1881.5972222222224</x:v>
      </x:c>
      <x:c r="F10" s="44" t="n">
        <x:f>IF('Economics'!$D$35=0,"n.a.",E10/'Economics'!$D$35)</x:f>
        <x:v>0.6451190476190476</x:v>
      </x:c>
      <x:c r="G10" s="2"/>
      <x:c r="H10" s="2"/>
    </x:row>
    <x:row r="11">
      <x:c r="A11" s="2"/>
      <x:c r="B11" s="48" t="n">
        <x:v>0.25</x:v>
      </x:c>
      <x:c r="C11" s="45" t="n">
        <x:f>'Assumptions'!$D$19+B11*'Assumptions'!$D$21</x:f>
        <x:v>35</x:v>
      </x:c>
      <x:c r="D11" s="46" t="n">
        <x:f>C11/60*'Assumptions'!$D$22+'Assumptions'!$D$23</x:f>
        <x:v>22.416666666666668</x:v>
      </x:c>
      <x:c r="E11" s="47" t="n">
        <x:f>'Economics'!$D$35-'Economics'!$D$16*D11-SUM('Economics'!$D$47,'Economics'!$D$49)</x:f>
        <x:v>1779.5138888888894</x:v>
      </x:c>
      <x:c r="F11" s="44" t="n">
        <x:f>IF('Economics'!$D$35=0,"n.a.",E11/'Economics'!$D$35)</x:f>
        <x:v>0.6101190476190477</x:v>
      </x:c>
      <x:c r="G11" s="2"/>
      <x:c r="H11" s="2"/>
    </x:row>
    <x:row r="12">
      <x:c r="A12" s="2"/>
      <x:c r="B12" s="48" t="n">
        <x:v>0.5</x:v>
      </x:c>
      <x:c r="C12" s="45" t="n">
        <x:f>'Assumptions'!$D$19+B12*'Assumptions'!$D$21</x:f>
        <x:v>50</x:v>
      </x:c>
      <x:c r="D12" s="46" t="n">
        <x:f>C12/60*'Assumptions'!$D$22+'Assumptions'!$D$23</x:f>
        <x:v>31.166666666666668</x:v>
      </x:c>
      <x:c r="E12" s="47" t="n">
        <x:f>'Economics'!$D$35-'Economics'!$D$16*D12-SUM('Economics'!$D$47,'Economics'!$D$49)</x:f>
        <x:v>1524.3055555555559</x:v>
      </x:c>
      <x:c r="F12" s="44" t="n">
        <x:f>IF('Economics'!$D$35=0,"n.a.",E12/'Economics'!$D$35)</x:f>
        <x:v>0.5226190476190476</x:v>
      </x:c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 t="str">
        <x:v>Cash realization of manager time</x:v>
      </x:c>
      <x:c r="C15" s="2"/>
      <x:c r="D15" s="2"/>
      <x:c r="E15" s="2"/>
      <x:c r="F15" s="2"/>
      <x:c r="G15" s="2"/>
      <x:c r="H15" s="2"/>
    </x:row>
    <x:row r="16" ht="34" customHeight="1">
      <x:c r="A16" s="2"/>
      <x:c r="B16" s="43" t="str">
        <x:v>Time converted to cash</x:v>
      </x:c>
      <x:c r="C16" s="43" t="str">
        <x:v>Manager labor value</x:v>
      </x:c>
      <x:c r="D16" s="43" t="str">
        <x:v>Buyer net value</x:v>
      </x:c>
      <x:c r="E16" s="43" t="str">
        <x:v>Buyer price ceiling</x:v>
      </x:c>
      <x:c r="F16" s="2"/>
      <x:c r="G16" s="2"/>
      <x:c r="H16" s="2"/>
    </x:row>
    <x:row r="17">
      <x:c r="A17" s="2"/>
      <x:c r="B17" s="48" t="n">
        <x:v>0</x:v>
      </x:c>
      <x:c r="C17" s="47" t="n">
        <x:f>'Economics'!$D$18*B17</x:f>
        <x:v>0</x:v>
      </x:c>
      <x:c r="D17" s="47" t="n">
        <x:f>C17+SUM('Economics'!$D$26,'Economics'!$D$31)-'Economics'!$D$35</x:f>
        <x:v>2916.666666666667</x:v>
      </x:c>
      <x:c r="E17" s="47" t="n">
        <x:f>D17+'Economics'!$D$35</x:f>
        <x:v>5833.333333333334</x:v>
      </x:c>
      <x:c r="F17" s="2"/>
      <x:c r="G17" s="2"/>
      <x:c r="H17" s="2"/>
    </x:row>
    <x:row r="18">
      <x:c r="A18" s="2"/>
      <x:c r="B18" s="48" t="n">
        <x:v>0.5</x:v>
      </x:c>
      <x:c r="C18" s="47" t="n">
        <x:f>'Economics'!$D$18*B18</x:f>
        <x:v>656.25</x:v>
      </x:c>
      <x:c r="D18" s="47" t="n">
        <x:f>C18+SUM('Economics'!$D$26,'Economics'!$D$31)-'Economics'!$D$35</x:f>
        <x:v>3572.916666666667</x:v>
      </x:c>
      <x:c r="E18" s="47" t="n">
        <x:f>D18+'Economics'!$D$35</x:f>
        <x:v>6489.583333333334</x:v>
      </x:c>
      <x:c r="F18" s="2"/>
      <x:c r="G18" s="2"/>
      <x:c r="H18" s="2"/>
    </x:row>
    <x:row r="19">
      <x:c r="A19" s="2"/>
      <x:c r="B19" s="48" t="n">
        <x:v>1</x:v>
      </x:c>
      <x:c r="C19" s="47" t="n">
        <x:f>'Economics'!$D$18*B19</x:f>
        <x:v>1312.5</x:v>
      </x:c>
      <x:c r="D19" s="47" t="n">
        <x:f>C19+SUM('Economics'!$D$26,'Economics'!$D$31)-'Economics'!$D$35</x:f>
        <x:v>4229.166666666667</x:v>
      </x:c>
      <x:c r="E19" s="47" t="n">
        <x:f>D19+'Economics'!$D$35</x:f>
        <x:v>7145.833333333334</x:v>
      </x:c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 t="str">
        <x:v>Who captures owner economics</x:v>
      </x:c>
      <x:c r="C22" s="2"/>
      <x:c r="D22" s="2"/>
      <x:c r="E22" s="2"/>
      <x:c r="F22" s="2"/>
      <x:c r="G22" s="2"/>
      <x:c r="H22" s="2"/>
    </x:row>
    <x:row r="23" ht="34" customHeight="1">
      <x:c r="A23" s="2"/>
      <x:c r="B23" s="43" t="str">
        <x:v>Buyer share</x:v>
      </x:c>
      <x:c r="C23" s="43" t="str">
        <x:v>Owner value to buyer</x:v>
      </x:c>
      <x:c r="D23" s="43" t="str">
        <x:v>Buyer net value</x:v>
      </x:c>
      <x:c r="E23" s="43" t="str">
        <x:v>Owner value outside buyer</x:v>
      </x:c>
      <x:c r="F23" s="2"/>
      <x:c r="G23" s="2"/>
      <x:c r="H23" s="2"/>
    </x:row>
    <x:row r="24">
      <x:c r="A24" s="2"/>
      <x:c r="B24" s="48" t="n">
        <x:v>0</x:v>
      </x:c>
      <x:c r="C24" s="47" t="n">
        <x:f>'Economics'!$D$27*B24</x:f>
        <x:v>0</x:v>
      </x:c>
      <x:c r="D24" s="47" t="n">
        <x:f>'Economics'!$D$29+C24-'Economics'!$D$35</x:f>
        <x:v>-1793.7500000000002</x:v>
      </x:c>
      <x:c r="E24" s="47" t="n">
        <x:f>'Economics'!$D$27-C24</x:f>
        <x:v>5366.666666666667</x:v>
      </x:c>
      <x:c r="F24" s="2"/>
      <x:c r="G24" s="2"/>
      <x:c r="H24" s="2"/>
    </x:row>
    <x:row r="25">
      <x:c r="A25" s="2"/>
      <x:c r="B25" s="48" t="n">
        <x:v>0.5</x:v>
      </x:c>
      <x:c r="C25" s="47" t="n">
        <x:f>'Economics'!$D$27*B25</x:f>
        <x:v>2683.3333333333335</x:v>
      </x:c>
      <x:c r="D25" s="47" t="n">
        <x:f>'Economics'!$D$29+C25-'Economics'!$D$35</x:f>
        <x:v>889.583333333333</x:v>
      </x:c>
      <x:c r="E25" s="47" t="n">
        <x:f>'Economics'!$D$27-C25</x:f>
        <x:v>2683.3333333333335</x:v>
      </x:c>
      <x:c r="F25" s="2"/>
      <x:c r="G25" s="2"/>
      <x:c r="H25" s="2"/>
    </x:row>
    <x:row r="26">
      <x:c r="A26" s="2"/>
      <x:c r="B26" s="48" t="n">
        <x:v>1</x:v>
      </x:c>
      <x:c r="C26" s="47" t="n">
        <x:f>'Economics'!$D$27*B26</x:f>
        <x:v>5366.666666666667</x:v>
      </x:c>
      <x:c r="D26" s="47" t="n">
        <x:f>'Economics'!$D$29+C26-'Economics'!$D$35</x:f>
        <x:v>3572.916666666667</x:v>
      </x:c>
      <x:c r="E26" s="47" t="n">
        <x:f>'Economics'!$D$27-C26</x:f>
        <x:v>0</x:v>
      </x:c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 t="str">
        <x:v>Owner benefits remain assumptions. Set both owner benefit inputs to zero to test a labor-only case.</x:v>
      </x:c>
      <x:c r="C29" s="2"/>
      <x:c r="D29" s="2"/>
      <x:c r="E29" s="2"/>
      <x:c r="F29" s="2"/>
      <x:c r="G29" s="2"/>
      <x:c r="H29" s="2"/>
    </x:row>
    <x:row r="30">
      <x:c r="A30" s="2"/>
      <x:c r="B30" s="2" t="str">
        <x:v>Exception rates change human handling costs; they do not change customer benefits in this isolated test.</x:v>
      </x:c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 t="str">
        <x:v>Collected rent days recovered</x:v>
      </x:c>
      <x:c r="C32" s="2"/>
      <x:c r="D32" s="2"/>
      <x:c r="E32" s="2"/>
      <x:c r="F32" s="2"/>
      <x:c r="G32" s="2"/>
      <x:c r="H32" s="2"/>
    </x:row>
    <x:row r="33" ht="34" customHeight="1">
      <x:c r="A33" s="2"/>
      <x:c r="B33" s="43" t="str">
        <x:v>Collected days/turn</x:v>
      </x:c>
      <x:c r="C33" s="43" t="str">
        <x:v>Owner added revenue</x:v>
      </x:c>
      <x:c r="D33" s="43" t="str">
        <x:v>Manager added fees</x:v>
      </x:c>
      <x:c r="E33" s="43" t="str">
        <x:v>Owner gain after fee</x:v>
      </x:c>
      <x:c r="F33" s="43" t="str">
        <x:v>Buyer net value</x:v>
      </x:c>
      <x:c r="G33" s="2"/>
      <x:c r="H33" s="2"/>
    </x:row>
    <x:row r="34">
      <x:c r="A34" s="2"/>
      <x:c r="B34" s="49" t="n">
        <x:v>0</x:v>
      </x:c>
      <x:c r="C34" s="47" t="n">
        <x:f>'Economics'!$D$16*'Assumptions'!$D$28/'Assumptions'!$D$30*B34</x:f>
        <x:v>0</x:v>
      </x:c>
      <x:c r="D34" s="47" t="n">
        <x:f>C34*'Assumptions'!$D$15</x:f>
        <x:v>0</x:v>
      </x:c>
      <x:c r="E34" s="47" t="n">
        <x:f>C34+'Economics'!$D$23-D34</x:f>
        <x:v>0</x:v>
      </x:c>
      <x:c r="F34" s="47" t="n">
        <x:f>'Economics'!$D$19+D34+E34*'Assumptions'!$D$16-'Economics'!$D$35</x:f>
        <x:v>-2260.416666666667</x:v>
      </x:c>
      <x:c r="G34" s="2"/>
      <x:c r="H34" s="2"/>
    </x:row>
    <x:row r="35">
      <x:c r="A35" s="2"/>
      <x:c r="B35" s="49" t="n">
        <x:v>1</x:v>
      </x:c>
      <x:c r="C35" s="47" t="n">
        <x:f>'Economics'!$D$16*'Assumptions'!$D$28/'Assumptions'!$D$30*B35</x:f>
        <x:v>1944.4444444444446</x:v>
      </x:c>
      <x:c r="D35" s="47" t="n">
        <x:f>C35*'Assumptions'!$D$15</x:f>
        <x:v>155.55555555555557</x:v>
      </x:c>
      <x:c r="E35" s="47" t="n">
        <x:f>C35+'Economics'!$D$23-D35</x:f>
        <x:v>1788.888888888889</x:v>
      </x:c>
      <x:c r="F35" s="47" t="n">
        <x:f>'Economics'!$D$19+D35+E35*'Assumptions'!$D$16-'Economics'!$D$35</x:f>
        <x:v>-315.9722222222226</x:v>
      </x:c>
      <x:c r="G35" s="2"/>
      <x:c r="H35" s="2"/>
    </x:row>
    <x:row r="36">
      <x:c r="A36" s="2"/>
      <x:c r="B36" s="49" t="n">
        <x:v>2</x:v>
      </x:c>
      <x:c r="C36" s="47" t="n">
        <x:f>'Economics'!$D$16*'Assumptions'!$D$28/'Assumptions'!$D$30*B36</x:f>
        <x:v>3888.888888888889</x:v>
      </x:c>
      <x:c r="D36" s="47" t="n">
        <x:f>C36*'Assumptions'!$D$15</x:f>
        <x:v>311.11111111111114</x:v>
      </x:c>
      <x:c r="E36" s="47" t="n">
        <x:f>C36+'Economics'!$D$23-D36</x:f>
        <x:v>3577.777777777778</x:v>
      </x:c>
      <x:c r="F36" s="47" t="n">
        <x:f>'Economics'!$D$19+D36+E36*'Assumptions'!$D$16-'Economics'!$D$35</x:f>
        <x:v>1628.4722222222217</x:v>
      </x:c>
      <x:c r="G36" s="2"/>
      <x:c r="H36" s="2"/>
    </x:row>
    <x:row r="37">
      <x:c r="A37" s="2"/>
      <x:c r="B37" s="49" t="n">
        <x:v>3</x:v>
      </x:c>
      <x:c r="C37" s="47" t="n">
        <x:f>'Economics'!$D$16*'Assumptions'!$D$28/'Assumptions'!$D$30*B37</x:f>
        <x:v>5833.333333333334</x:v>
      </x:c>
      <x:c r="D37" s="47" t="n">
        <x:f>C37*'Assumptions'!$D$15</x:f>
        <x:v>466.66666666666674</x:v>
      </x:c>
      <x:c r="E37" s="47" t="n">
        <x:f>C37+'Economics'!$D$23-D37</x:f>
        <x:v>5366.666666666667</x:v>
      </x:c>
      <x:c r="F37" s="47" t="n">
        <x:f>'Economics'!$D$19+D37+E37*'Assumptions'!$D$16-'Economics'!$D$35</x:f>
        <x:v>3572.916666666667</x:v>
      </x:c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</x:sheetData>
  <x:conditionalFormatting sqref="E8:E12">
    <x:cfRule type="cellIs" dxfId="6" priority="1" operator="lessThan">
      <x:formula>0</x:formula>
    </x:cfRule>
  </x:conditionalFormatting>
  <x:conditionalFormatting sqref="D17:D19">
    <x:cfRule type="cellIs" dxfId="7" priority="2" operator="lessThan">
      <x:formula>0</x:formula>
    </x:cfRule>
  </x:conditionalFormatting>
  <x:conditionalFormatting sqref="D24:D26">
    <x:cfRule type="cellIs" dxfId="8" priority="3" operator="lessThan">
      <x:formula>0</x:formula>
    </x:cfRule>
  </x:conditionalFormatting>
  <x:conditionalFormatting sqref="F34:F37">
    <x:cfRule type="cellIs" dxfId="9" priority="4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55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75" hidden="0" customWidth="1"/>
    <x:col min="17" max="17" width="42" hidden="0" customWidth="1"/>
    <x:col min="18" max="18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Property-manager decision inventory</x:v>
      </x:c>
      <x:c r="B2" s="3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2"/>
    </x:row>
    <x:row r="4">
      <x:c r="A4" s="2" t="str">
        <x:v>115 records. Filter the headers and scroll right for full detail.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2" customHeight="1">
      <x:c r="A6" s="43" t="str">
        <x:v>decision id</x:v>
      </x:c>
      <x:c r="B6" s="43" t="str">
        <x:v>family</x:v>
      </x:c>
      <x:c r="C6" s="43" t="str">
        <x:v>scope</x:v>
      </x:c>
      <x:c r="D6" s="43" t="str">
        <x:v>decision</x:v>
      </x:c>
      <x:c r="E6" s="43" t="str">
        <x:v>trigger</x:v>
      </x:c>
      <x:c r="F6" s="43" t="str">
        <x:v>inputs</x:v>
      </x:c>
      <x:c r="G6" s="43" t="str">
        <x:v>alternatives</x:v>
      </x:c>
      <x:c r="H6" s="43" t="str">
        <x:v>decision authority</x:v>
      </x:c>
      <x:c r="I6" s="43" t="str">
        <x:v>executor</x:v>
      </x:c>
      <x:c r="J6" s="43" t="str">
        <x:v>desired outcome</x:v>
      </x:c>
      <x:c r="K6" s="43" t="str">
        <x:v>constraints</x:v>
      </x:c>
      <x:c r="L6" s="43" t="str">
        <x:v>automation hypothesis</x:v>
      </x:c>
      <x:c r="M6" s="43" t="str">
        <x:v>dependencies</x:v>
      </x:c>
      <x:c r="N6" s="43" t="str">
        <x:v>what to validate with operator</x:v>
      </x:c>
      <x:c r="O6" s="43" t="str">
        <x:v>source ids</x:v>
      </x:c>
      <x:c r="P6" s="43" t="str">
        <x:v>source urls</x:v>
      </x:c>
      <x:c r="Q6" s="43" t="str">
        <x:v>source scope</x:v>
      </x:c>
      <x:c r="R6" s="43" t="str">
        <x:v>source limitations</x:v>
      </x:c>
      <x:c r="S6" s="2"/>
    </x:row>
    <x:row r="7" ht="73" customHeight="1">
      <x:c r="A7" s="50" t="str">
        <x:v>D001</x:v>
      </x:c>
      <x:c r="B7" s="50" t="str">
        <x:v>Management mandate</x:v>
      </x:c>
      <x:c r="C7" s="50" t="str">
        <x:v>All managed property</x:v>
      </x:c>
      <x:c r="D7" s="50" t="str">
        <x:v>Accept this owner/property?</x:v>
      </x:c>
      <x:c r="E7" s="50" t="str">
        <x:v>Prospect or acquisition</x:v>
      </x:c>
      <x:c r="F7" s="50" t="str">
        <x:v>Ownership; condition; finances; geography; client conduct</x:v>
      </x:c>
      <x:c r="G7" s="50" t="str">
        <x:v>Accept; condition acceptance; refer; decline</x:v>
      </x:c>
      <x:c r="H7" s="50" t="str">
        <x:v>Management principal</x:v>
      </x:c>
      <x:c r="I7" s="50" t="str">
        <x:v>Business development and PM</x:v>
      </x:c>
      <x:c r="J7" s="50" t="str">
        <x:v>Serviceable profitable client</x:v>
      </x:c>
      <x:c r="K7" s="50" t="str">
        <x:v>License; conflicts; unsafe or underfunded property</x:v>
      </x:c>
      <x:c r="L7" s="50" t="str">
        <x:v>Prepare fit and cost-to-serve assessment; principal decides</x:v>
      </x:c>
      <x:c r="M7" s="50" t="str">
        <x:v>Staff capacity; vendor coverage; available records</x:v>
      </x:c>
      <x:c r="N7" s="50" t="str">
        <x:v>Which apparently attractive clients lose money?</x:v>
      </x:c>
      <x:c r="O7" s="50" t="str">
        <x:v>O01</x:v>
      </x:c>
      <x:c r="P7" s="50" t="str">
        <x:v>https://www.dre.ca.gov/files/pdf/refbook/ref22.pdf</x:v>
      </x:c>
      <x:c r="Q7" s="50" t="str">
        <x:v>Domain anchors support parts of the decision family. The decision taxonomy and automation hypotheses are original synthesis, not claims validated in full by each source.</x:v>
      </x:c>
      <x:c r="R7" s="50" t="str">
        <x:v>O01: Background scope anchor; not current fee benchmark or complete legal implementation; decision taxonomy is original synthesis</x:v>
      </x:c>
      <x:c r="S7" s="2"/>
    </x:row>
    <x:row r="8" ht="73" customHeight="1">
      <x:c r="A8" s="50" t="str">
        <x:v>D002</x:v>
      </x:c>
      <x:c r="B8" s="50" t="str">
        <x:v>Management mandate</x:v>
      </x:c>
      <x:c r="C8" s="50" t="str">
        <x:v>All managed property</x:v>
      </x:c>
      <x:c r="D8" s="50" t="str">
        <x:v>Set scope and fees?</x:v>
      </x:c>
      <x:c r="E8" s="50" t="str">
        <x:v>Proposal or renewal</x:v>
      </x:c>
      <x:c r="F8" s="50" t="str">
        <x:v>Expected work; included services; exclusions; risk</x:v>
      </x:c>
      <x:c r="G8" s="50" t="str">
        <x:v>Flat; percentage; minimum; add-on; bundled</x:v>
      </x:c>
      <x:c r="H8" s="50" t="str">
        <x:v>Management principal and owner</x:v>
      </x:c>
      <x:c r="I8" s="50" t="str">
        <x:v>Account manager</x:v>
      </x:c>
      <x:c r="J8" s="50" t="str">
        <x:v>Explicit economically viable mandate</x:v>
      </x:c>
      <x:c r="K8" s="50" t="str">
        <x:v>Disclosure; procurement; client approval</x:v>
      </x:c>
      <x:c r="L8" s="50" t="str">
        <x:v>Price scenarios from actual work; negotiate exceptions</x:v>
      </x:c>
      <x:c r="M8" s="50" t="str">
        <x:v>Owner objective; service standards</x:v>
      </x:c>
      <x:c r="N8" s="50" t="str">
        <x:v>What unpaid work is routinely absorbed?</x:v>
      </x:c>
      <x:c r="O8" s="50" t="str">
        <x:v>O01</x:v>
      </x:c>
      <x:c r="P8" s="50" t="str">
        <x:v>https://www.dre.ca.gov/files/pdf/refbook/ref22.pdf</x:v>
      </x:c>
      <x:c r="Q8" s="50" t="str">
        <x:v>Domain anchors support parts of the decision family. The decision taxonomy and automation hypotheses are original synthesis, not claims validated in full by each source.</x:v>
      </x:c>
      <x:c r="R8" s="50" t="str">
        <x:v>O01: Background scope anchor; not current fee benchmark or complete legal implementation; decision taxonomy is original synthesis</x:v>
      </x:c>
      <x:c r="S8" s="2"/>
    </x:row>
    <x:row r="9" ht="73" customHeight="1">
      <x:c r="A9" s="50" t="str">
        <x:v>D003</x:v>
      </x:c>
      <x:c r="B9" s="50" t="str">
        <x:v>Management mandate</x:v>
      </x:c>
      <x:c r="C9" s="50" t="str">
        <x:v>All managed property</x:v>
      </x:c>
      <x:c r="D9" s="50" t="str">
        <x:v>Accept which delegated authority?</x:v>
      </x:c>
      <x:c r="E9" s="50" t="str">
        <x:v>New agreement or scope change</x:v>
      </x:c>
      <x:c r="F9" s="50" t="str">
        <x:v>Spend limits; emergency powers; leasing and settlement rights</x:v>
      </x:c>
      <x:c r="G9" s="50" t="str">
        <x:v>Preapprove classes; require specific consent; prohibit</x:v>
      </x:c>
      <x:c r="H9" s="50" t="str">
        <x:v>Owner or board and manager</x:v>
      </x:c>
      <x:c r="I9" s="50" t="str">
        <x:v>Principal and counsel</x:v>
      </x:c>
      <x:c r="J9" s="50" t="str">
        <x:v>Fast lawful decisions with accountable owner</x:v>
      </x:c>
      <x:c r="K9" s="50" t="str">
        <x:v>Contract; fiduciary duties; nondelegable decisions</x:v>
      </x:c>
      <x:c r="L9" s="50" t="str">
        <x:v>Extract and maintain permission table with review</x:v>
      </x:c>
      <x:c r="M9" s="50" t="str">
        <x:v>Funds; owner responsiveness; legal obligations</x:v>
      </x:c>
      <x:c r="N9" s="50" t="str">
        <x:v>Where does approval delay cause loss?</x:v>
      </x:c>
      <x:c r="O9" s="50" t="str">
        <x:v>O01</x:v>
      </x:c>
      <x:c r="P9" s="50" t="str">
        <x:v>https://www.dre.ca.gov/files/pdf/refbook/ref22.pdf</x:v>
      </x:c>
      <x:c r="Q9" s="50" t="str">
        <x:v>Domain anchors support parts of the decision family. The decision taxonomy and automation hypotheses are original synthesis, not claims validated in full by each source.</x:v>
      </x:c>
      <x:c r="R9" s="50" t="str">
        <x:v>O01: Background scope anchor; not current fee benchmark or complete legal implementation; decision taxonomy is original synthesis</x:v>
      </x:c>
      <x:c r="S9" s="2"/>
    </x:row>
    <x:row r="10" ht="73" customHeight="1">
      <x:c r="A10" s="50" t="str">
        <x:v>D004</x:v>
      </x:c>
      <x:c r="B10" s="50" t="str">
        <x:v>Management mandate</x:v>
      </x:c>
      <x:c r="C10" s="50" t="str">
        <x:v>All managed property</x:v>
      </x:c>
      <x:c r="D10" s="50" t="str">
        <x:v>Choose communication and escalation rules?</x:v>
      </x:c>
      <x:c r="E10" s="50" t="str">
        <x:v>Onboarding or recurring failures</x:v>
      </x:c>
      <x:c r="F10" s="50" t="str">
        <x:v>Contact preferences; availability; emergency contacts</x:v>
      </x:c>
      <x:c r="G10" s="50" t="str">
        <x:v>Scheduled; threshold alert; immediate escalation</x:v>
      </x:c>
      <x:c r="H10" s="50" t="str">
        <x:v>Owner and PM</x:v>
      </x:c>
      <x:c r="I10" s="50" t="str">
        <x:v>PM and support staff</x:v>
      </x:c>
      <x:c r="J10" s="50" t="str">
        <x:v>Right person receives actionable requests</x:v>
      </x:c>
      <x:c r="K10" s="50" t="str">
        <x:v>Privacy; contractual reporting; accessibility</x:v>
      </x:c>
      <x:c r="L10" s="50" t="str">
        <x:v>Route and follow up automatically within agreed boundaries</x:v>
      </x:c>
      <x:c r="M10" s="50" t="str">
        <x:v>Decision authority; severity; deadlines</x:v>
      </x:c>
      <x:c r="N10" s="50" t="str">
        <x:v>Who is the real approver when owner is absent?</x:v>
      </x:c>
      <x:c r="O10" s="50" t="str">
        <x:v>O01</x:v>
      </x:c>
      <x:c r="P10" s="50" t="str">
        <x:v>https://www.dre.ca.gov/files/pdf/refbook/ref22.pdf</x:v>
      </x:c>
      <x:c r="Q10" s="50" t="str">
        <x:v>Domain anchors support parts of the decision family. The decision taxonomy and automation hypotheses are original synthesis, not claims validated in full by each source.</x:v>
      </x:c>
      <x:c r="R10" s="50" t="str">
        <x:v>O01: Background scope anchor; not current fee benchmark or complete legal implementation; decision taxonomy is original synthesis</x:v>
      </x:c>
      <x:c r="S10" s="2"/>
    </x:row>
    <x:row r="11" ht="73" customHeight="1">
      <x:c r="A11" s="50" t="str">
        <x:v>D005</x:v>
      </x:c>
      <x:c r="B11" s="50" t="str">
        <x:v>Management mandate</x:v>
      </x:c>
      <x:c r="C11" s="50" t="str">
        <x:v>All managed property</x:v>
      </x:c>
      <x:c r="D11" s="50" t="str">
        <x:v>Resolve owner-resident conflict?</x:v>
      </x:c>
      <x:c r="E11" s="50" t="str">
        <x:v>Owner direction conflicts with occupancy or service</x:v>
      </x:c>
      <x:c r="F11" s="50" t="str">
        <x:v>Contract; law; facts; resident account</x:v>
      </x:c>
      <x:c r="G11" s="50" t="str">
        <x:v>Explain; offer lawful alternatives; refuse; escalate</x:v>
      </x:c>
      <x:c r="H11" s="50" t="str">
        <x:v>PM principal with counsel</x:v>
      </x:c>
      <x:c r="I11" s="50" t="str">
        <x:v>PM</x:v>
      </x:c>
      <x:c r="J11" s="50" t="str">
        <x:v>Lawful service and preserved relationships</x:v>
      </x:c>
      <x:c r="K11" s="50" t="str">
        <x:v>Resident rights; agency duties; retaliation risk</x:v>
      </x:c>
      <x:c r="L11" s="50" t="str">
        <x:v>Prepare facts and alternatives; no automatic coercion</x:v>
      </x:c>
      <x:c r="M11" s="50" t="str">
        <x:v>Repair urgency; funds; dispute process</x:v>
      </x:c>
      <x:c r="N11" s="50" t="str">
        <x:v>How often are instructions commercially or legally unacceptable?</x:v>
      </x:c>
      <x:c r="O11" s="50" t="str">
        <x:v>O01</x:v>
      </x:c>
      <x:c r="P11" s="50" t="str">
        <x:v>https://www.dre.ca.gov/files/pdf/refbook/ref22.pdf</x:v>
      </x:c>
      <x:c r="Q11" s="50" t="str">
        <x:v>Domain anchors support parts of the decision family. The decision taxonomy and automation hypotheses are original synthesis, not claims validated in full by each source.</x:v>
      </x:c>
      <x:c r="R11" s="50" t="str">
        <x:v>O01: Background scope anchor; not current fee benchmark or complete legal implementation; decision taxonomy is original synthesis</x:v>
      </x:c>
      <x:c r="S11" s="2"/>
    </x:row>
    <x:row r="12" ht="73" customHeight="1">
      <x:c r="A12" s="50" t="str">
        <x:v>D006</x:v>
      </x:c>
      <x:c r="B12" s="50" t="str">
        <x:v>Management mandate</x:v>
      </x:c>
      <x:c r="C12" s="50" t="str">
        <x:v>All managed property</x:v>
      </x:c>
      <x:c r="D12" s="50" t="str">
        <x:v>Change scope or reprice service?</x:v>
      </x:c>
      <x:c r="E12" s="50" t="str">
        <x:v>Workload or property mix shifts</x:v>
      </x:c>
      <x:c r="F12" s="50" t="str">
        <x:v>Actual service effort; margins; complaints; renewal date</x:v>
      </x:c>
      <x:c r="G12" s="50" t="str">
        <x:v>Improve process; reprice; narrow scope; exit</x:v>
      </x:c>
      <x:c r="H12" s="50" t="str">
        <x:v>Management principal and owner</x:v>
      </x:c>
      <x:c r="I12" s="50" t="str">
        <x:v>Account manager</x:v>
      </x:c>
      <x:c r="J12" s="50" t="str">
        <x:v>Sustainable service</x:v>
      </x:c>
      <x:c r="K12" s="50" t="str">
        <x:v>Notice; continuity; contractual limits</x:v>
      </x:c>
      <x:c r="L12" s="50" t="str">
        <x:v>Detect workload drift and generate options</x:v>
      </x:c>
      <x:c r="M12" s="50" t="str">
        <x:v>Cost allocation; retention</x:v>
      </x:c>
      <x:c r="N12" s="50" t="str">
        <x:v>Can time and unbilled work be linked to an owner?</x:v>
      </x:c>
      <x:c r="O12" s="50" t="str">
        <x:v>O01</x:v>
      </x:c>
      <x:c r="P12" s="50" t="str">
        <x:v>https://www.dre.ca.gov/files/pdf/refbook/ref22.pdf</x:v>
      </x:c>
      <x:c r="Q12" s="50" t="str">
        <x:v>Domain anchors support parts of the decision family. The decision taxonomy and automation hypotheses are original synthesis, not claims validated in full by each source.</x:v>
      </x:c>
      <x:c r="R12" s="50" t="str">
        <x:v>O01: Background scope anchor; not current fee benchmark or complete legal implementation; decision taxonomy is original synthesis</x:v>
      </x:c>
      <x:c r="S12" s="2"/>
    </x:row>
    <x:row r="13" ht="73" customHeight="1">
      <x:c r="A13" s="50" t="str">
        <x:v>D007</x:v>
      </x:c>
      <x:c r="B13" s="50" t="str">
        <x:v>Management mandate</x:v>
      </x:c>
      <x:c r="C13" s="50" t="str">
        <x:v>All managed property</x:v>
      </x:c>
      <x:c r="D13" s="50" t="str">
        <x:v>End management relationship?</x:v>
      </x:c>
      <x:c r="E13" s="50" t="str">
        <x:v>Breach; sale; uneconomic service; client request</x:v>
      </x:c>
      <x:c r="F13" s="50" t="str">
        <x:v>Agreement; arrears; open obligations; successor</x:v>
      </x:c>
      <x:c r="G13" s="50" t="str">
        <x:v>Cure; renegotiate; terminate; transfer</x:v>
      </x:c>
      <x:c r="H13" s="50" t="str">
        <x:v>Principal and owner subject to contract</x:v>
      </x:c>
      <x:c r="I13" s="50" t="str">
        <x:v>Transition lead</x:v>
      </x:c>
      <x:c r="J13" s="50" t="str">
        <x:v>Orderly release without orphaned obligations</x:v>
      </x:c>
      <x:c r="K13" s="50" t="str">
        <x:v>Notice; fiduciary records; fund transfer; service continuity</x:v>
      </x:c>
      <x:c r="L13" s="50" t="str">
        <x:v>Assemble handover and chase receipt; authorized transfer</x:v>
      </x:c>
      <x:c r="M13" s="50" t="str">
        <x:v>Takeover; accounting; keys; claims</x:v>
      </x:c>
      <x:c r="N13" s="50" t="str">
        <x:v>Who owns obligations that survive termination?</x:v>
      </x:c>
      <x:c r="O13" s="50" t="str">
        <x:v>O01</x:v>
      </x:c>
      <x:c r="P13" s="50" t="str">
        <x:v>https://www.dre.ca.gov/files/pdf/refbook/ref22.pdf</x:v>
      </x:c>
      <x:c r="Q13" s="50" t="str">
        <x:v>Domain anchors support parts of the decision family. The decision taxonomy and automation hypotheses are original synthesis, not claims validated in full by each source.</x:v>
      </x:c>
      <x:c r="R13" s="50" t="str">
        <x:v>O01: Background scope anchor; not current fee benchmark or complete legal implementation; decision taxonomy is original synthesis</x:v>
      </x:c>
      <x:c r="S13" s="2"/>
    </x:row>
    <x:row r="14" ht="86" customHeight="1">
      <x:c r="A14" s="50" t="str">
        <x:v>D008</x:v>
      </x:c>
      <x:c r="B14" s="50" t="str">
        <x:v>Takeover and operational setup</x:v>
      </x:c>
      <x:c r="C14" s="50" t="str">
        <x:v>All managed property</x:v>
      </x:c>
      <x:c r="D14" s="50" t="str">
        <x:v>Is the property ready to enter management?</x:v>
      </x:c>
      <x:c r="E14" s="50" t="str">
        <x:v>Signed mandate or closing</x:v>
      </x:c>
      <x:c r="F14" s="50" t="str">
        <x:v>Legal owner; addresses; units; occupancy; open hazards</x:v>
      </x:c>
      <x:c r="G14" s="50" t="str">
        <x:v>Start; staged start; conditional start; pause</x:v>
      </x:c>
      <x:c r="H14" s="50" t="str">
        <x:v>Principal and PM</x:v>
      </x:c>
      <x:c r="I14" s="50" t="str">
        <x:v>Transition lead</x:v>
      </x:c>
      <x:c r="J14" s="50" t="str">
        <x:v>Known starting position</x:v>
      </x:c>
      <x:c r="K14" s="50" t="str">
        <x:v>Closing conditions; safety; transition duties</x:v>
      </x:c>
      <x:c r="L14" s="50" t="str">
        <x:v>Compare source records; flag contradictions</x:v>
      </x:c>
      <x:c r="M14" s="50" t="str">
        <x:v>Mandate; funding; access</x:v>
      </x:c>
      <x:c r="N14" s="50" t="str">
        <x:v>Which missing item prevents actual service?</x:v>
      </x:c>
      <x:c r="O14" s="50" t="str">
        <x:v>O01;O02</x:v>
      </x:c>
      <x:c r="P14" s="50" t="str">
        <x:v>https://www.dre.ca.gov/files/pdf/refbook/ref22.pdf
https://www.dre.ca.gov/files/pdf/refbook/ref21.pdf</x:v>
      </x:c>
      <x:c r="Q14" s="50" t="str">
        <x:v>Domain anchors support parts of the decision family. The decision taxonomy and automation hypotheses are original synthesis, not claims validated in full by each source.</x:v>
      </x:c>
      <x:c r="R14" s="50" t="str">
        <x:v>O01: Background scope anchor; not current fee benchmark or complete legal implementation; decision taxonomy is original synthesis
O02: California example; do not universalize timing or licensing details</x:v>
      </x:c>
      <x:c r="S14" s="2"/>
    </x:row>
    <x:row r="15" ht="86" customHeight="1">
      <x:c r="A15" s="50" t="str">
        <x:v>D009</x:v>
      </x:c>
      <x:c r="B15" s="50" t="str">
        <x:v>Takeover and operational setup</x:v>
      </x:c>
      <x:c r="C15" s="50" t="str">
        <x:v>All managed property</x:v>
      </x:c>
      <x:c r="D15" s="50" t="str">
        <x:v>Which leases and obligations are operative?</x:v>
      </x:c>
      <x:c r="E15" s="50" t="str">
        <x:v>Inherited files or amendment</x:v>
      </x:c>
      <x:c r="F15" s="50" t="str">
        <x:v>Signed leases; amendments; notices; side letters</x:v>
      </x:c>
      <x:c r="G15" s="50" t="str">
        <x:v>Accept verified terms; request original; refer ambiguity</x:v>
      </x:c>
      <x:c r="H15" s="50" t="str">
        <x:v>PM within authority; counsel for interpretation</x:v>
      </x:c>
      <x:c r="I15" s="50" t="str">
        <x:v>Lease administrator</x:v>
      </x:c>
      <x:c r="J15" s="50" t="str">
        <x:v>Accurate obligations and deadlines</x:v>
      </x:c>
      <x:c r="K15" s="50" t="str">
        <x:v>Executed version; local law; disputed terms</x:v>
      </x:c>
      <x:c r="L15" s="50" t="str">
        <x:v>Extract clauses with source references and human verification</x:v>
      </x:c>
      <x:c r="M15" s="50" t="str">
        <x:v>Rent roll; occupancy; owner promises</x:v>
      </x:c>
      <x:c r="N15" s="50" t="str">
        <x:v>How often do ledger and signed lease disagree?</x:v>
      </x:c>
      <x:c r="O15" s="50" t="str">
        <x:v>O01;O02</x:v>
      </x:c>
      <x:c r="P15" s="50" t="str">
        <x:v>https://www.dre.ca.gov/files/pdf/refbook/ref22.pdf
https://www.dre.ca.gov/files/pdf/refbook/ref21.pdf</x:v>
      </x:c>
      <x:c r="Q15" s="50" t="str">
        <x:v>Domain anchors support parts of the decision family. The decision taxonomy and automation hypotheses are original synthesis, not claims validated in full by each source.</x:v>
      </x:c>
      <x:c r="R15" s="50" t="str">
        <x:v>O01: Background scope anchor; not current fee benchmark or complete legal implementation; decision taxonomy is original synthesis
O02: California example; do not universalize timing or licensing details</x:v>
      </x:c>
      <x:c r="S15" s="2"/>
    </x:row>
    <x:row r="16" ht="86" customHeight="1">
      <x:c r="A16" s="50" t="str">
        <x:v>D010</x:v>
      </x:c>
      <x:c r="B16" s="50" t="str">
        <x:v>Takeover and operational setup</x:v>
      </x:c>
      <x:c r="C16" s="50" t="str">
        <x:v>All managed property</x:v>
      </x:c>
      <x:c r="D16" s="50" t="str">
        <x:v>Which balances and deposits transfer?</x:v>
      </x:c>
      <x:c r="E16" s="50" t="str">
        <x:v>Management switch or asset closing</x:v>
      </x:c>
      <x:c r="F16" s="50" t="str">
        <x:v>Bank records; tenant ledgers; deposit records; settlement</x:v>
      </x:c>
      <x:c r="G16" s="50" t="str">
        <x:v>Accept; reconcile; reserve disputed amount; escalate</x:v>
      </x:c>
      <x:c r="H16" s="50" t="str">
        <x:v>Controller and authorized owner</x:v>
      </x:c>
      <x:c r="I16" s="50" t="str">
        <x:v>Accountant and bank signers</x:v>
      </x:c>
      <x:c r="J16" s="50" t="str">
        <x:v>Money and liabilities agree</x:v>
      </x:c>
      <x:c r="K16" s="50" t="str">
        <x:v>Client segregation; beneficial ownership; transfer rules</x:v>
      </x:c>
      <x:c r="L16" s="50" t="str">
        <x:v>Match records and isolate unexplained differences</x:v>
      </x:c>
      <x:c r="M16" s="50" t="str">
        <x:v>Bank setup; closing; open receivables</x:v>
      </x:c>
      <x:c r="N16" s="50" t="str">
        <x:v>How long until opening balances become reliable?</x:v>
      </x:c>
      <x:c r="O16" s="50" t="str">
        <x:v>O01;O02</x:v>
      </x:c>
      <x:c r="P16" s="50" t="str">
        <x:v>https://www.dre.ca.gov/files/pdf/refbook/ref22.pdf
https://www.dre.ca.gov/files/pdf/refbook/ref21.pdf</x:v>
      </x:c>
      <x:c r="Q16" s="50" t="str">
        <x:v>Domain anchors support parts of the decision family. The decision taxonomy and automation hypotheses are original synthesis, not claims validated in full by each source.</x:v>
      </x:c>
      <x:c r="R16" s="50" t="str">
        <x:v>O01: Background scope anchor; not current fee benchmark or complete legal implementation; decision taxonomy is original synthesis
O02: California example; do not universalize timing or licensing details</x:v>
      </x:c>
      <x:c r="S16" s="2"/>
    </x:row>
    <x:row r="17" ht="86" customHeight="1">
      <x:c r="A17" s="50" t="str">
        <x:v>D011</x:v>
      </x:c>
      <x:c r="B17" s="50" t="str">
        <x:v>Takeover and operational setup</x:v>
      </x:c>
      <x:c r="C17" s="50" t="str">
        <x:v>All managed property</x:v>
      </x:c>
      <x:c r="D17" s="50" t="str">
        <x:v>Who controls access and services?</x:v>
      </x:c>
      <x:c r="E17" s="50" t="str">
        <x:v>Handover date</x:v>
      </x:c>
      <x:c r="F17" s="50" t="str">
        <x:v>Keys; codes; meters; utilities; equipment credentials</x:v>
      </x:c>
      <x:c r="G17" s="50" t="str">
        <x:v>Transfer; rekey; reset; retain restricted access</x:v>
      </x:c>
      <x:c r="H17" s="50" t="str">
        <x:v>PM under mandate</x:v>
      </x:c>
      <x:c r="I17" s="50" t="str">
        <x:v>Technician and administrator</x:v>
      </x:c>
      <x:c r="J17" s="50" t="str">
        <x:v>Authorized access and continuous services</x:v>
      </x:c>
      <x:c r="K17" s="50" t="str">
        <x:v>Privacy; entry law; vendor security</x:v>
      </x:c>
      <x:c r="L17" s="50" t="str">
        <x:v>Inventory credentials and schedule revocation</x:v>
      </x:c>
      <x:c r="M17" s="50" t="str">
        <x:v>Occupancy; emergency contacts; utility contracts</x:v>
      </x:c>
      <x:c r="N17" s="50" t="str">
        <x:v>Are keys and shutoff locations actually verified?</x:v>
      </x:c>
      <x:c r="O17" s="50" t="str">
        <x:v>O01;O02</x:v>
      </x:c>
      <x:c r="P17" s="50" t="str">
        <x:v>https://www.dre.ca.gov/files/pdf/refbook/ref22.pdf
https://www.dre.ca.gov/files/pdf/refbook/ref21.pdf</x:v>
      </x:c>
      <x:c r="Q17" s="50" t="str">
        <x:v>Domain anchors support parts of the decision family. The decision taxonomy and automation hypotheses are original synthesis, not claims validated in full by each source.</x:v>
      </x:c>
      <x:c r="R17" s="50" t="str">
        <x:v>O01: Background scope anchor; not current fee benchmark or complete legal implementation; decision taxonomy is original synthesis
O02: California example; do not universalize timing or licensing details</x:v>
      </x:c>
      <x:c r="S17" s="2"/>
    </x:row>
    <x:row r="18" ht="86" customHeight="1">
      <x:c r="A18" s="50" t="str">
        <x:v>D012</x:v>
      </x:c>
      <x:c r="B18" s="50" t="str">
        <x:v>Takeover and operational setup</x:v>
      </x:c>
      <x:c r="C18" s="50" t="str">
        <x:v>All managed property</x:v>
      </x:c>
      <x:c r="D18" s="50" t="str">
        <x:v>Which inherited work is unfinished?</x:v>
      </x:c>
      <x:c r="E18" s="50" t="str">
        <x:v>Acquisition or management change</x:v>
      </x:c>
      <x:c r="F18" s="50" t="str">
        <x:v>Open orders; resident reports; invoices; warranties; inspections</x:v>
      </x:c>
      <x:c r="G18" s="50" t="str">
        <x:v>Continue; re-scope; cancel; investigate</x:v>
      </x:c>
      <x:c r="H18" s="50" t="str">
        <x:v>PM; owner for spend outside limits</x:v>
      </x:c>
      <x:c r="I18" s="50" t="str">
        <x:v>Coordinator and field staff</x:v>
      </x:c>
      <x:c r="J18" s="50" t="str">
        <x:v>No unresolved work disappears</x:v>
      </x:c>
      <x:c r="K18" s="50" t="str">
        <x:v>Warranty; payment liability; safety priority</x:v>
      </x:c>
      <x:c r="L18" s="50" t="str">
        <x:v>Deduplicate and confirm status with parties</x:v>
      </x:c>
      <x:c r="M18" s="50" t="str">
        <x:v>Physical condition; vendor contracts; disputed invoices</x:v>
      </x:c>
      <x:c r="N18" s="50" t="str">
        <x:v>How many closed orders are still unresolved?</x:v>
      </x:c>
      <x:c r="O18" s="50" t="str">
        <x:v>O01;O02</x:v>
      </x:c>
      <x:c r="P18" s="50" t="str">
        <x:v>https://www.dre.ca.gov/files/pdf/refbook/ref22.pdf
https://www.dre.ca.gov/files/pdf/refbook/ref21.pdf</x:v>
      </x:c>
      <x:c r="Q18" s="50" t="str">
        <x:v>Domain anchors support parts of the decision family. The decision taxonomy and automation hypotheses are original synthesis, not claims validated in full by each source.</x:v>
      </x:c>
      <x:c r="R18" s="50" t="str">
        <x:v>O01: Background scope anchor; not current fee benchmark or complete legal implementation; decision taxonomy is original synthesis
O02: California example; do not universalize timing or licensing details</x:v>
      </x:c>
      <x:c r="S18" s="2"/>
    </x:row>
    <x:row r="19" ht="86" customHeight="1">
      <x:c r="A19" s="50" t="str">
        <x:v>D013</x:v>
      </x:c>
      <x:c r="B19" s="50" t="str">
        <x:v>Takeover and operational setup</x:v>
      </x:c>
      <x:c r="C19" s="50" t="str">
        <x:v>All managed property</x:v>
      </x:c>
      <x:c r="D19" s="50" t="str">
        <x:v>Which vendors and contracts continue?</x:v>
      </x:c>
      <x:c r="E19" s="50" t="str">
        <x:v>Takeover or expiry</x:v>
      </x:c>
      <x:c r="F19" s="50" t="str">
        <x:v>Terms; assignability; service history; insurance</x:v>
      </x:c>
      <x:c r="G19" s="50" t="str">
        <x:v>Assume; renegotiate; replace; terminate</x:v>
      </x:c>
      <x:c r="H19" s="50" t="str">
        <x:v>Owner or delegated PM</x:v>
      </x:c>
      <x:c r="I19" s="50" t="str">
        <x:v>Procurement</x:v>
      </x:c>
      <x:c r="J19" s="50" t="str">
        <x:v>Continuity at acceptable cost</x:v>
      </x:c>
      <x:c r="K19" s="50" t="str">
        <x:v>Assignment; notice; license; conflicts</x:v>
      </x:c>
      <x:c r="L19" s="50" t="str">
        <x:v>Compare obligations and request approvals</x:v>
      </x:c>
      <x:c r="M19" s="50" t="str">
        <x:v>Service readiness; unpaid balances</x:v>
      </x:c>
      <x:c r="N19" s="50" t="str">
        <x:v>Which contracts cannot transfer automatically?</x:v>
      </x:c>
      <x:c r="O19" s="50" t="str">
        <x:v>O01;O02</x:v>
      </x:c>
      <x:c r="P19" s="50" t="str">
        <x:v>https://www.dre.ca.gov/files/pdf/refbook/ref22.pdf
https://www.dre.ca.gov/files/pdf/refbook/ref21.pdf</x:v>
      </x:c>
      <x:c r="Q19" s="50" t="str">
        <x:v>Domain anchors support parts of the decision family. The decision taxonomy and automation hypotheses are original synthesis, not claims validated in full by each source.</x:v>
      </x:c>
      <x:c r="R19" s="50" t="str">
        <x:v>O01: Background scope anchor; not current fee benchmark or complete legal implementation; decision taxonomy is original synthesis
O02: California example; do not universalize timing or licensing details</x:v>
      </x:c>
      <x:c r="S19" s="2"/>
    </x:row>
    <x:row r="20" ht="86" customHeight="1">
      <x:c r="A20" s="50" t="str">
        <x:v>D014</x:v>
      </x:c>
      <x:c r="B20" s="50" t="str">
        <x:v>Takeover and operational setup</x:v>
      </x:c>
      <x:c r="C20" s="50" t="str">
        <x:v>All managed property</x:v>
      </x:c>
      <x:c r="D20" s="50" t="str">
        <x:v>Who must be notified and by when?</x:v>
      </x:c>
      <x:c r="E20" s="50" t="str">
        <x:v>Change of owner or manager</x:v>
      </x:c>
      <x:c r="F20" s="50" t="str">
        <x:v>Resident roster; lenders; agencies; banks; counterparties</x:v>
      </x:c>
      <x:c r="G20" s="50" t="str">
        <x:v>Use required notice; supplemental explanation; correct failed delivery</x:v>
      </x:c>
      <x:c r="H20" s="50" t="str">
        <x:v>PM and counsel as needed</x:v>
      </x:c>
      <x:c r="I20" s="50" t="str">
        <x:v>Administrator</x:v>
      </x:c>
      <x:c r="J20" s="50" t="str">
        <x:v>Recognized accountable contact</x:v>
      </x:c>
      <x:c r="K20" s="50" t="str">
        <x:v>Service method; statutory dates; privacy</x:v>
      </x:c>
      <x:c r="L20" s="50" t="str">
        <x:v>Generate approved notices and track delivery failures</x:v>
      </x:c>
      <x:c r="M20" s="50" t="str">
        <x:v>Effective date; entity identity</x:v>
      </x:c>
      <x:c r="N20" s="50" t="str">
        <x:v>Which recipients are missing from current checklists?</x:v>
      </x:c>
      <x:c r="O20" s="50" t="str">
        <x:v>O01;O02</x:v>
      </x:c>
      <x:c r="P20" s="50" t="str">
        <x:v>https://www.dre.ca.gov/files/pdf/refbook/ref22.pdf
https://www.dre.ca.gov/files/pdf/refbook/ref21.pdf</x:v>
      </x:c>
      <x:c r="Q20" s="50" t="str">
        <x:v>Domain anchors support parts of the decision family. The decision taxonomy and automation hypotheses are original synthesis, not claims validated in full by each source.</x:v>
      </x:c>
      <x:c r="R20" s="50" t="str">
        <x:v>O01: Background scope anchor; not current fee benchmark or complete legal implementation; decision taxonomy is original synthesis
O02: California example; do not universalize timing or licensing details</x:v>
      </x:c>
      <x:c r="S20" s="2"/>
    </x:row>
    <x:row r="21" ht="86" customHeight="1">
      <x:c r="A21" s="50" t="str">
        <x:v>D015</x:v>
      </x:c>
      <x:c r="B21" s="50" t="str">
        <x:v>Portfolio planning and resource allocation</x:v>
      </x:c>
      <x:c r="C21" s="50" t="str">
        <x:v>All; owner/AM retains investment decisions</x:v>
      </x:c>
      <x:c r="D21" s="50" t="str">
        <x:v>What outcomes should the property pursue?</x:v>
      </x:c>
      <x:c r="E21" s="50" t="str">
        <x:v>Annual plan or owner change</x:v>
      </x:c>
      <x:c r="F21" s="50" t="str">
        <x:v>Hold period; cash needs; condition; demand; covenants</x:v>
      </x:c>
      <x:c r="G21" s="50" t="str">
        <x:v>Income stability; lease-up; renovation; reposition; sale preparation</x:v>
      </x:c>
      <x:c r="H21" s="50" t="str">
        <x:v>Owner or asset manager</x:v>
      </x:c>
      <x:c r="I21" s="50" t="str">
        <x:v>PM prepares operating alternatives</x:v>
      </x:c>
      <x:c r="J21" s="50" t="str">
        <x:v>Operating plan consistent with ownership objective</x:v>
      </x:c>
      <x:c r="K21" s="50" t="str">
        <x:v>Debt; regulation; resident obligations</x:v>
      </x:c>
      <x:c r="L21" s="50" t="str">
        <x:v>Model scenarios without pretending one objective is universal</x:v>
      </x:c>
      <x:c r="M21" s="50" t="str">
        <x:v>Budget; leasing; capital</x:v>
      </x:c>
      <x:c r="N21" s="50" t="str">
        <x:v>Does owner optimize cash flow; value; stability; or growth?</x:v>
      </x:c>
      <x:c r="O21" s="50" t="str">
        <x:v>O01;O06</x:v>
      </x:c>
      <x:c r="P21" s="50" t="str">
        <x:v>https://www.dre.ca.gov/files/pdf/refbook/ref22.pdf
https://www.energy.gov/cmei/femp/operations-and-maintenance-challenges-and-solutions</x:v>
      </x:c>
      <x:c r="Q21" s="50" t="str">
        <x:v>Domain anchors support parts of the decision family. The decision taxonomy and automation hypotheses are original synthesis, not claims validated in full by each source.</x:v>
      </x:c>
      <x:c r="R21" s="50" t="str">
        <x:v>O01: Background scope anchor; not current fee benchmark or complete legal implementation; decision taxonomy is original synthesis
O06: Federal-facility guidance is an analogue; no claimed rental-property savings rate</x:v>
      </x:c>
      <x:c r="S21" s="2"/>
    </x:row>
    <x:row r="22" ht="86" customHeight="1">
      <x:c r="A22" s="50" t="str">
        <x:v>D016</x:v>
      </x:c>
      <x:c r="B22" s="50" t="str">
        <x:v>Portfolio planning and resource allocation</x:v>
      </x:c>
      <x:c r="C22" s="50" t="str">
        <x:v>All; owner/AM retains investment decisions</x:v>
      </x:c>
      <x:c r="D22" s="50" t="str">
        <x:v>What budget and reserves are needed?</x:v>
      </x:c>
      <x:c r="E22" s="50" t="str">
        <x:v>Budget cycle or material variance</x:v>
      </x:c>
      <x:c r="F22" s="50" t="str">
        <x:v>Rent; vacancy; payroll; contracts; asset condition; debt</x:v>
      </x:c>
      <x:c r="G22" s="50" t="str">
        <x:v>Base; deferred; accelerated; contingency</x:v>
      </x:c>
      <x:c r="H22" s="50" t="str">
        <x:v>Owner or board</x:v>
      </x:c>
      <x:c r="I22" s="50" t="str">
        <x:v>PM and finance</x:v>
      </x:c>
      <x:c r="J22" s="50" t="str">
        <x:v>Funded feasible operating plan</x:v>
      </x:c>
      <x:c r="K22" s="50" t="str">
        <x:v>Restricted funds; minimum service; approvals</x:v>
      </x:c>
      <x:c r="L22" s="50" t="str">
        <x:v>Forecast line items and show uncertainty</x:v>
      </x:c>
      <x:c r="M22" s="50" t="str">
        <x:v>Repair backlog; staffing; capital schedule</x:v>
      </x:c>
      <x:c r="N22" s="50" t="str">
        <x:v>Which forecast assumptions routinely fail?</x:v>
      </x:c>
      <x:c r="O22" s="50" t="str">
        <x:v>O01;O06</x:v>
      </x:c>
      <x:c r="P22" s="50" t="str">
        <x:v>https://www.dre.ca.gov/files/pdf/refbook/ref22.pdf
https://www.energy.gov/cmei/femp/operations-and-maintenance-challenges-and-solutions</x:v>
      </x:c>
      <x:c r="Q22" s="50" t="str">
        <x:v>Domain anchors support parts of the decision family. The decision taxonomy and automation hypotheses are original synthesis, not claims validated in full by each source.</x:v>
      </x:c>
      <x:c r="R22" s="50" t="str">
        <x:v>O01: Background scope anchor; not current fee benchmark or complete legal implementation; decision taxonomy is original synthesis
O06: Federal-facility guidance is an analogue; no claimed rental-property savings rate</x:v>
      </x:c>
      <x:c r="S22" s="2"/>
    </x:row>
    <x:row r="23" ht="86" customHeight="1">
      <x:c r="A23" s="50" t="str">
        <x:v>D017</x:v>
      </x:c>
      <x:c r="B23" s="50" t="str">
        <x:v>Portfolio planning and resource allocation</x:v>
      </x:c>
      <x:c r="C23" s="50" t="str">
        <x:v>All; owner/AM retains investment decisions</x:v>
      </x:c>
      <x:c r="D23" s="50" t="str">
        <x:v>Where should scarce cash go first?</x:v>
      </x:c>
      <x:c r="E23" s="50" t="str">
        <x:v>Shortfall or competing requests</x:v>
      </x:c>
      <x:c r="F23" s="50" t="str">
        <x:v>Urgency; legal deadlines; cash; impact; invoices</x:v>
      </x:c>
      <x:c r="G23" s="50" t="str">
        <x:v>Safety work; essential service; debt; deferrable work; owner call</x:v>
      </x:c>
      <x:c r="H23" s="50" t="str">
        <x:v>Owner with PM and finance</x:v>
      </x:c>
      <x:c r="I23" s="50" t="str">
        <x:v>Treasury and operations</x:v>
      </x:c>
      <x:c r="J23" s="50" t="str">
        <x:v>Solvent operation preserving essential duties</x:v>
      </x:c>
      <x:c r="K23" s="50" t="str">
        <x:v>Do not use another client's funds; lender restrictions</x:v>
      </x:c>
      <x:c r="L23" s="50" t="str">
        <x:v>Rank feasible options; show consequence of each delay</x:v>
      </x:c>
      <x:c r="M23" s="50" t="str">
        <x:v>Collections; cash forecast; casualty</x:v>
      </x:c>
      <x:c r="N23" s="50" t="str">
        <x:v>Who bears loss when approvals or funding fail?</x:v>
      </x:c>
      <x:c r="O23" s="50" t="str">
        <x:v>O01;O06</x:v>
      </x:c>
      <x:c r="P23" s="50" t="str">
        <x:v>https://www.dre.ca.gov/files/pdf/refbook/ref22.pdf
https://www.energy.gov/cmei/femp/operations-and-maintenance-challenges-and-solutions</x:v>
      </x:c>
      <x:c r="Q23" s="50" t="str">
        <x:v>Domain anchors support parts of the decision family. The decision taxonomy and automation hypotheses are original synthesis, not claims validated in full by each source.</x:v>
      </x:c>
      <x:c r="R23" s="50" t="str">
        <x:v>O01: Background scope anchor; not current fee benchmark or complete legal implementation; decision taxonomy is original synthesis
O06: Federal-facility guidance is an analogue; no claimed rental-property savings rate</x:v>
      </x:c>
      <x:c r="S23" s="2"/>
    </x:row>
    <x:row r="24" ht="86" customHeight="1">
      <x:c r="A24" s="50" t="str">
        <x:v>D018</x:v>
      </x:c>
      <x:c r="B24" s="50" t="str">
        <x:v>Portfolio planning and resource allocation</x:v>
      </x:c>
      <x:c r="C24" s="50" t="str">
        <x:v>All; owner/AM retains investment decisions</x:v>
      </x:c>
      <x:c r="D24" s="50" t="str">
        <x:v>Which properties need intervention?</x:v>
      </x:c>
      <x:c r="E24" s="50" t="str">
        <x:v>Regular review or abnormal performance</x:v>
      </x:c>
      <x:c r="F24" s="50" t="str">
        <x:v>Comparable periods; occupancy; repairs; complaints; cash</x:v>
      </x:c>
      <x:c r="G24" s="50" t="str">
        <x:v>Observe; investigate; send staff; change plan</x:v>
      </x:c>
      <x:c r="H24" s="50" t="str">
        <x:v>Regional PM and asset manager</x:v>
      </x:c>
      <x:c r="I24" s="50" t="str">
        <x:v>Regional or site team</x:v>
      </x:c>
      <x:c r="J24" s="50" t="str">
        <x:v>Problems addressed before worsening</x:v>
      </x:c>
      <x:c r="K24" s="50" t="str">
        <x:v>Comparable definitions; seasonal effects</x:v>
      </x:c>
      <x:c r="L24" s="50" t="str">
        <x:v>Detect changes and provide probable causes</x:v>
      </x:c>
      <x:c r="M24" s="50" t="str">
        <x:v>Data completeness; local context</x:v>
      </x:c>
      <x:c r="N24" s="50" t="str">
        <x:v>Which early signals actually precede costly failures?</x:v>
      </x:c>
      <x:c r="O24" s="50" t="str">
        <x:v>O01;O06</x:v>
      </x:c>
      <x:c r="P24" s="50" t="str">
        <x:v>https://www.dre.ca.gov/files/pdf/refbook/ref22.pdf
https://www.energy.gov/cmei/femp/operations-and-maintenance-challenges-and-solutions</x:v>
      </x:c>
      <x:c r="Q24" s="50" t="str">
        <x:v>Domain anchors support parts of the decision family. The decision taxonomy and automation hypotheses are original synthesis, not claims validated in full by each source.</x:v>
      </x:c>
      <x:c r="R24" s="50" t="str">
        <x:v>O01: Background scope anchor; not current fee benchmark or complete legal implementation; decision taxonomy is original synthesis
O06: Federal-facility guidance is an analogue; no claimed rental-property savings rate</x:v>
      </x:c>
      <x:c r="S24" s="2"/>
    </x:row>
    <x:row r="25" ht="86" customHeight="1">
      <x:c r="A25" s="50" t="str">
        <x:v>D019</x:v>
      </x:c>
      <x:c r="B25" s="50" t="str">
        <x:v>Portfolio planning and resource allocation</x:v>
      </x:c>
      <x:c r="C25" s="50" t="str">
        <x:v>All; owner/AM retains investment decisions</x:v>
      </x:c>
      <x:c r="D25" s="50" t="str">
        <x:v>How much staff/vendor capacity is required?</x:v>
      </x:c>
      <x:c r="E25" s="50" t="str">
        <x:v>Growth; absence; season; backlog</x:v>
      </x:c>
      <x:c r="F25" s="50" t="str">
        <x:v>Job volume; travel; skills; service windows</x:v>
      </x:c>
      <x:c r="G25" s="50" t="str">
        <x:v>Hire; outsource; pool; overtime; automate; refuse growth</x:v>
      </x:c>
      <x:c r="H25" s="50" t="str">
        <x:v>Operating principal or regional PM</x:v>
      </x:c>
      <x:c r="I25" s="50" t="str">
        <x:v>HR and operations</x:v>
      </x:c>
      <x:c r="J25" s="50" t="str">
        <x:v>Reliable service at economic staffing</x:v>
      </x:c>
      <x:c r="K25" s="50" t="str">
        <x:v>Labor rules; workload; skill; service commitment</x:v>
      </x:c>
      <x:c r="L25" s="50" t="str">
        <x:v>Forecast workload and optimize assignments</x:v>
      </x:c>
      <x:c r="M25" s="50" t="str">
        <x:v>Pipeline; portfolio geography; emergency demand</x:v>
      </x:c>
      <x:c r="N25" s="50" t="str">
        <x:v>Is bottleneck labor; approval; parts; or scheduling?</x:v>
      </x:c>
      <x:c r="O25" s="50" t="str">
        <x:v>O01;O06</x:v>
      </x:c>
      <x:c r="P25" s="50" t="str">
        <x:v>https://www.dre.ca.gov/files/pdf/refbook/ref22.pdf
https://www.energy.gov/cmei/femp/operations-and-maintenance-challenges-and-solutions</x:v>
      </x:c>
      <x:c r="Q25" s="50" t="str">
        <x:v>Domain anchors support parts of the decision family. The decision taxonomy and automation hypotheses are original synthesis, not claims validated in full by each source.</x:v>
      </x:c>
      <x:c r="R25" s="50" t="str">
        <x:v>O01: Background scope anchor; not current fee benchmark or complete legal implementation; decision taxonomy is original synthesis
O06: Federal-facility guidance is an analogue; no claimed rental-property savings rate</x:v>
      </x:c>
      <x:c r="S25" s="2"/>
    </x:row>
    <x:row r="26" ht="86" customHeight="1">
      <x:c r="A26" s="50" t="str">
        <x:v>D020</x:v>
      </x:c>
      <x:c r="B26" s="50" t="str">
        <x:v>Portfolio planning and resource allocation</x:v>
      </x:c>
      <x:c r="C26" s="50" t="str">
        <x:v>All; owner/AM retains investment decisions</x:v>
      </x:c>
      <x:c r="D26" s="50" t="str">
        <x:v>What service level is worth paying for?</x:v>
      </x:c>
      <x:c r="E26" s="50" t="str">
        <x:v>New plan or complaints</x:v>
      </x:c>
      <x:c r="F26" s="50" t="str">
        <x:v>Resident expectations; building type; cost; outcomes</x:v>
      </x:c>
      <x:c r="G26" s="50" t="str">
        <x:v>Standard; premium; on-call; self-service; targeted extra service</x:v>
      </x:c>
      <x:c r="H26" s="50" t="str">
        <x:v>Owner and management principal</x:v>
      </x:c>
      <x:c r="I26" s="50" t="str">
        <x:v>PM</x:v>
      </x:c>
      <x:c r="J26" s="50" t="str">
        <x:v>Explicit service promise that can be delivered</x:v>
      </x:c>
      <x:c r="K26" s="50" t="str">
        <x:v>Minimum duties cannot be traded away</x:v>
      </x:c>
      <x:c r="L26" s="50" t="str">
        <x:v>Compare cost and service scenarios</x:v>
      </x:c>
      <x:c r="M26" s="50" t="str">
        <x:v>Budget; staffing; segment</x:v>
      </x:c>
      <x:c r="N26" s="50" t="str">
        <x:v>What do owners and residents each value enough to fund?</x:v>
      </x:c>
      <x:c r="O26" s="50" t="str">
        <x:v>O01;O06</x:v>
      </x:c>
      <x:c r="P26" s="50" t="str">
        <x:v>https://www.dre.ca.gov/files/pdf/refbook/ref22.pdf
https://www.energy.gov/cmei/femp/operations-and-maintenance-challenges-and-solutions</x:v>
      </x:c>
      <x:c r="Q26" s="50" t="str">
        <x:v>Domain anchors support parts of the decision family. The decision taxonomy and automation hypotheses are original synthesis, not claims validated in full by each source.</x:v>
      </x:c>
      <x:c r="R26" s="50" t="str">
        <x:v>O01: Background scope anchor; not current fee benchmark or complete legal implementation; decision taxonomy is original synthesis
O06: Federal-facility guidance is an analogue; no claimed rental-property savings rate</x:v>
      </x:c>
      <x:c r="S26" s="2"/>
    </x:row>
    <x:row r="27" ht="151" customHeight="1">
      <x:c r="A27" s="50" t="str">
        <x:v>D021</x:v>
      </x:c>
      <x:c r="B27" s="50" t="str">
        <x:v>Demand and leasing pipeline</x:v>
      </x:c>
      <x:c r="C27" s="50" t="str">
        <x:v>Rental residential and commercial</x:v>
      </x:c>
      <x:c r="D27" s="50" t="str">
        <x:v>When and how should space be marketed?</x:v>
      </x:c>
      <x:c r="E27" s="50" t="str">
        <x:v>Notice; delivery; vacancy; lease expiry</x:v>
      </x:c>
      <x:c r="F27" s="50" t="str">
        <x:v>Readiness forecast; legal possession; demand; channel history</x:v>
      </x:c>
      <x:c r="G27" s="50" t="str">
        <x:v>Prelease; wait; broker; direct; targeted channels</x:v>
      </x:c>
      <x:c r="H27" s="50" t="str">
        <x:v>PM within leasing mandate</x:v>
      </x:c>
      <x:c r="I27" s="50" t="str">
        <x:v>Leasing staff or broker</x:v>
      </x:c>
      <x:c r="J27" s="50" t="str">
        <x:v>Qualified demand timed to availability</x:v>
      </x:c>
      <x:c r="K27" s="50" t="str">
        <x:v>Truthful listing; nondiscriminatory advertising</x:v>
      </x:c>
      <x:c r="L27" s="50" t="str">
        <x:v>Generate accurate listings from verified attributes</x:v>
      </x:c>
      <x:c r="M27" s="50" t="str">
        <x:v>Turn plan; rent approval; inspections</x:v>
      </x:c>
      <x:c r="N27" s="50" t="str">
        <x:v>How often is listed availability unreliable?</x:v>
      </x:c>
      <x:c r="O27" s="50" t="str">
        <x:v>O01;O03;O04</x:v>
      </x:c>
      <x:c r="P27" s="50" t="str">
        <x:v>https://www.dre.ca.gov/files/pdf/refbook/ref22.pdf
https://www.ftc.gov/business-guidance/resources/using-consumer-reports-what-landlords-need-know
https://www.justice.gov/opa/pr/justice-department-requires-realpage-end-sharing-competitively-sensitive-information-and</x:v>
      </x:c>
      <x:c r="Q27" s="50" t="str">
        <x:v>Domain anchors support parts of the decision family. The decision taxonomy and automation hypotheses are original synthesis, not claims validated in full by each source.</x:v>
      </x:c>
      <x:c r="R27" s="50" t="str">
        <x:v>O01: Background scope anchor; not current fee benchmark or complete legal implementation; decision taxonomy is original synthesis
O03: July 2023 page; federal FCRA anchor does not replace state/local screening restrictions
O04: Proposed settlement announcement 2025-11-24; not a universal prohibition on all pricing software; current docket and local laws needed before implementation</x:v>
      </x:c>
      <x:c r="S27" s="2"/>
    </x:row>
    <x:row r="28" ht="151" customHeight="1">
      <x:c r="A28" s="50" t="str">
        <x:v>D022</x:v>
      </x:c>
      <x:c r="B28" s="50" t="str">
        <x:v>Demand and leasing pipeline</x:v>
      </x:c>
      <x:c r="C28" s="50" t="str">
        <x:v>Rental residential and commercial</x:v>
      </x:c>
      <x:c r="D28" s="50" t="str">
        <x:v>What price and terms should be offered?</x:v>
      </x:c>
      <x:c r="E28" s="50" t="str">
        <x:v>Listing; renewal; stale availability</x:v>
      </x:c>
      <x:c r="F28" s="50" t="str">
        <x:v>Own demand; public comparables; condition; vacancy cost; legal limits</x:v>
      </x:c>
      <x:c r="G28" s="50" t="str">
        <x:v>Change rent; term; concession; deposit; leave unchanged</x:v>
      </x:c>
      <x:c r="H28" s="50" t="str">
        <x:v>Owner or delegated revenue/PM team</x:v>
      </x:c>
      <x:c r="I28" s="50" t="str">
        <x:v>Leasing administrator</x:v>
      </x:c>
      <x:c r="J28" s="50" t="str">
        <x:v>Sustainable net economics and occupancy</x:v>
      </x:c>
      <x:c r="K28" s="50" t="str">
        <x:v>Antitrust; rent regulation; disclosure; fee restrictions</x:v>
      </x:c>
      <x:c r="L28" s="50" t="str">
        <x:v>Model own-property options with lawful data</x:v>
      </x:c>
      <x:c r="M28" s="50" t="str">
        <x:v>Budget; availability; lease approval</x:v>
      </x:c>
      <x:c r="N28" s="50" t="str">
        <x:v>Is performance judged by asking rent or actual collected value?</x:v>
      </x:c>
      <x:c r="O28" s="50" t="str">
        <x:v>O01;O03;O04</x:v>
      </x:c>
      <x:c r="P28" s="50" t="str">
        <x:v>https://www.dre.ca.gov/files/pdf/refbook/ref22.pdf
https://www.ftc.gov/business-guidance/resources/using-consumer-reports-what-landlords-need-know
https://www.justice.gov/opa/pr/justice-department-requires-realpage-end-sharing-competitively-sensitive-information-and</x:v>
      </x:c>
      <x:c r="Q28" s="50" t="str">
        <x:v>Domain anchors support parts of the decision family. The decision taxonomy and automation hypotheses are original synthesis, not claims validated in full by each source.</x:v>
      </x:c>
      <x:c r="R28" s="50" t="str">
        <x:v>O01: Background scope anchor; not current fee benchmark or complete legal implementation; decision taxonomy is original synthesis
O03: July 2023 page; federal FCRA anchor does not replace state/local screening restrictions
O04: Proposed settlement announcement 2025-11-24; not a universal prohibition on all pricing software; current docket and local laws needed before implementation</x:v>
      </x:c>
      <x:c r="S28" s="2"/>
    </x:row>
    <x:row r="29" ht="151" customHeight="1">
      <x:c r="A29" s="50" t="str">
        <x:v>D023</x:v>
      </x:c>
      <x:c r="B29" s="50" t="str">
        <x:v>Demand and leasing pipeline</x:v>
      </x:c>
      <x:c r="C29" s="50" t="str">
        <x:v>Rental residential and commercial</x:v>
      </x:c>
      <x:c r="D29" s="50" t="str">
        <x:v>Which channels and advertising spend?</x:v>
      </x:c>
      <x:c r="E29" s="50" t="str">
        <x:v>Budget or weak pipeline</x:v>
      </x:c>
      <x:c r="F29" s="50" t="str">
        <x:v>Cost; leads; qualified tours; signed leases; attribution</x:v>
      </x:c>
      <x:c r="G29" s="50" t="str">
        <x:v>Increase; reduce; reallocate; broker outreach</x:v>
      </x:c>
      <x:c r="H29" s="50" t="str">
        <x:v>PM or marketing lead</x:v>
      </x:c>
      <x:c r="I29" s="50" t="str">
        <x:v>Marketing</x:v>
      </x:c>
      <x:c r="J29" s="50" t="str">
        <x:v>Efficient qualified demand</x:v>
      </x:c>
      <x:c r="K29" s="50" t="str">
        <x:v>Fair housing; misleading ads; data consent</x:v>
      </x:c>
      <x:c r="L29" s="50" t="str">
        <x:v>Track cohort conversion and marginal spend</x:v>
      </x:c>
      <x:c r="M29" s="50" t="str">
        <x:v>Availability; target segment</x:v>
      </x:c>
      <x:c r="N29" s="50" t="str">
        <x:v>Do channels measure signed and retained leases?</x:v>
      </x:c>
      <x:c r="O29" s="50" t="str">
        <x:v>O01;O03;O04</x:v>
      </x:c>
      <x:c r="P29" s="50" t="str">
        <x:v>https://www.dre.ca.gov/files/pdf/refbook/ref22.pdf
https://www.ftc.gov/business-guidance/resources/using-consumer-reports-what-landlords-need-know
https://www.justice.gov/opa/pr/justice-department-requires-realpage-end-sharing-competitively-sensitive-information-and</x:v>
      </x:c>
      <x:c r="Q29" s="50" t="str">
        <x:v>Domain anchors support parts of the decision family. The decision taxonomy and automation hypotheses are original synthesis, not claims validated in full by each source.</x:v>
      </x:c>
      <x:c r="R29" s="50" t="str">
        <x:v>O01: Background scope anchor; not current fee benchmark or complete legal implementation; decision taxonomy is original synthesis
O03: July 2023 page; federal FCRA anchor does not replace state/local screening restrictions
O04: Proposed settlement announcement 2025-11-24; not a universal prohibition on all pricing software; current docket and local laws needed before implementation</x:v>
      </x:c>
      <x:c r="S29" s="2"/>
    </x:row>
    <x:row r="30" ht="151" customHeight="1">
      <x:c r="A30" s="50" t="str">
        <x:v>D024</x:v>
      </x:c>
      <x:c r="B30" s="50" t="str">
        <x:v>Demand and leasing pipeline</x:v>
      </x:c>
      <x:c r="C30" s="50" t="str">
        <x:v>Rental residential and commercial</x:v>
      </x:c>
      <x:c r="D30" s="50" t="str">
        <x:v>How should a prospect be answered?</x:v>
      </x:c>
      <x:c r="E30" s="50" t="str">
        <x:v>Call; message; walk-in</x:v>
      </x:c>
      <x:c r="F30" s="50" t="str">
        <x:v>Availability; verified terms; questions; access needs</x:v>
      </x:c>
      <x:c r="G30" s="50" t="str">
        <x:v>Answer; book tour; request information; transfer</x:v>
      </x:c>
      <x:c r="H30" s="50" t="str">
        <x:v>Leasing team under policy</x:v>
      </x:c>
      <x:c r="I30" s="50" t="str">
        <x:v>Agent or staff</x:v>
      </x:c>
      <x:c r="J30" s="50" t="str">
        <x:v>Accurate useful response and next step</x:v>
      </x:c>
      <x:c r="K30" s="50" t="str">
        <x:v>Fair housing; privacy; unknown facts</x:v>
      </x:c>
      <x:c r="L30" s="50" t="str">
        <x:v>Autonomous approved answers; escalate uncertain promises</x:v>
      </x:c>
      <x:c r="M30" s="50" t="str">
        <x:v>Inventory; hours; accommodation process</x:v>
      </x:c>
      <x:c r="N30" s="50" t="str">
        <x:v>How many questions require an actual person?</x:v>
      </x:c>
      <x:c r="O30" s="50" t="str">
        <x:v>O01;O03;O04</x:v>
      </x:c>
      <x:c r="P30" s="50" t="str">
        <x:v>https://www.dre.ca.gov/files/pdf/refbook/ref22.pdf
https://www.ftc.gov/business-guidance/resources/using-consumer-reports-what-landlords-need-know
https://www.justice.gov/opa/pr/justice-department-requires-realpage-end-sharing-competitively-sensitive-information-and</x:v>
      </x:c>
      <x:c r="Q30" s="50" t="str">
        <x:v>Domain anchors support parts of the decision family. The decision taxonomy and automation hypotheses are original synthesis, not claims validated in full by each source.</x:v>
      </x:c>
      <x:c r="R30" s="50" t="str">
        <x:v>O01: Background scope anchor; not current fee benchmark or complete legal implementation; decision taxonomy is original synthesis
O03: July 2023 page; federal FCRA anchor does not replace state/local screening restrictions
O04: Proposed settlement announcement 2025-11-24; not a universal prohibition on all pricing software; current docket and local laws needed before implementation</x:v>
      </x:c>
      <x:c r="S30" s="2"/>
    </x:row>
    <x:row r="31" ht="151" customHeight="1">
      <x:c r="A31" s="50" t="str">
        <x:v>D025</x:v>
      </x:c>
      <x:c r="B31" s="50" t="str">
        <x:v>Demand and leasing pipeline</x:v>
      </x:c>
      <x:c r="C31" s="50" t="str">
        <x:v>Rental residential and commercial</x:v>
      </x:c>
      <x:c r="D31" s="50" t="str">
        <x:v>How should tours be scheduled and accessed?</x:v>
      </x:c>
      <x:c r="E31" s="50" t="str">
        <x:v>Tour request</x:v>
      </x:c>
      <x:c r="F31" s="50" t="str">
        <x:v>Readiness; calendars; identity/access policy; occupant status</x:v>
      </x:c>
      <x:c r="G31" s="50" t="str">
        <x:v>Staffed; remote; self-guided; reschedule</x:v>
      </x:c>
      <x:c r="H31" s="50" t="str">
        <x:v>Leasing lead</x:v>
      </x:c>
      <x:c r="I31" s="50" t="str">
        <x:v>Staff; access provider; prospect</x:v>
      </x:c>
      <x:c r="J31" s="50" t="str">
        <x:v>Safe completed tour</x:v>
      </x:c>
      <x:c r="K31" s="50" t="str">
        <x:v>Entry notice; security; accessibility</x:v>
      </x:c>
      <x:c r="L31" s="50" t="str">
        <x:v>Schedule and confirm automatically; limited access credentials</x:v>
      </x:c>
      <x:c r="M31" s="50" t="str">
        <x:v>Unit status; current resident; keys</x:v>
      </x:c>
      <x:c r="N31" s="50" t="str">
        <x:v>Does tour automation move delay elsewhere?</x:v>
      </x:c>
      <x:c r="O31" s="50" t="str">
        <x:v>O01;O03;O04</x:v>
      </x:c>
      <x:c r="P31" s="50" t="str">
        <x:v>https://www.dre.ca.gov/files/pdf/refbook/ref22.pdf
https://www.ftc.gov/business-guidance/resources/using-consumer-reports-what-landlords-need-know
https://www.justice.gov/opa/pr/justice-department-requires-realpage-end-sharing-competitively-sensitive-information-and</x:v>
      </x:c>
      <x:c r="Q31" s="50" t="str">
        <x:v>Domain anchors support parts of the decision family. The decision taxonomy and automation hypotheses are original synthesis, not claims validated in full by each source.</x:v>
      </x:c>
      <x:c r="R31" s="50" t="str">
        <x:v>O01: Background scope anchor; not current fee benchmark or complete legal implementation; decision taxonomy is original synthesis
O03: July 2023 page; federal FCRA anchor does not replace state/local screening restrictions
O04: Proposed settlement announcement 2025-11-24; not a universal prohibition on all pricing software; current docket and local laws needed before implementation</x:v>
      </x:c>
      <x:c r="S31" s="2"/>
    </x:row>
    <x:row r="32" ht="151" customHeight="1">
      <x:c r="A32" s="50" t="str">
        <x:v>D026</x:v>
      </x:c>
      <x:c r="B32" s="50" t="str">
        <x:v>Demand and leasing pipeline</x:v>
      </x:c>
      <x:c r="C32" s="50" t="str">
        <x:v>Rental residential and commercial</x:v>
      </x:c>
      <x:c r="D32" s="50" t="str">
        <x:v>What should change when leasing stalls?</x:v>
      </x:c>
      <x:c r="E32" s="50" t="str">
        <x:v>High vacancy or low conversion</x:v>
      </x:c>
      <x:c r="F32" s="50" t="str">
        <x:v>Funnel stages; objections; competing listings; readiness; rejected applications</x:v>
      </x:c>
      <x:c r="G32" s="50" t="str">
        <x:v>Fix unit; price; channel; response; qualification; nothing</x:v>
      </x:c>
      <x:c r="H32" s="50" t="str">
        <x:v>PM with owner for major changes</x:v>
      </x:c>
      <x:c r="I32" s="50" t="str">
        <x:v>Leasing and maintenance</x:v>
      </x:c>
      <x:c r="J32" s="50" t="str">
        <x:v>Address actual conversion barrier</x:v>
      </x:c>
      <x:c r="K32" s="50" t="str">
        <x:v>Do not lower protected-rights standards or use prohibited data</x:v>
      </x:c>
      <x:c r="L32" s="50" t="str">
        <x:v>Diagnose stage-specific loss; test reversible change</x:v>
      </x:c>
      <x:c r="M32" s="50" t="str">
        <x:v>Marketing; screening; turn quality</x:v>
      </x:c>
      <x:c r="N32" s="50" t="str">
        <x:v>Which stage is failing rather than which metric is low?</x:v>
      </x:c>
      <x:c r="O32" s="50" t="str">
        <x:v>O01;O03;O04</x:v>
      </x:c>
      <x:c r="P32" s="50" t="str">
        <x:v>https://www.dre.ca.gov/files/pdf/refbook/ref22.pdf
https://www.ftc.gov/business-guidance/resources/using-consumer-reports-what-landlords-need-know
https://www.justice.gov/opa/pr/justice-department-requires-realpage-end-sharing-competitively-sensitive-information-and</x:v>
      </x:c>
      <x:c r="Q32" s="50" t="str">
        <x:v>Domain anchors support parts of the decision family. The decision taxonomy and automation hypotheses are original synthesis, not claims validated in full by each source.</x:v>
      </x:c>
      <x:c r="R32" s="50" t="str">
        <x:v>O01: Background scope anchor; not current fee benchmark or complete legal implementation; decision taxonomy is original synthesis
O03: July 2023 page; federal FCRA anchor does not replace state/local screening restrictions
O04: Proposed settlement announcement 2025-11-24; not a universal prohibition on all pricing software; current docket and local laws needed before implementation</x:v>
      </x:c>
      <x:c r="S32" s="2"/>
    </x:row>
    <x:row r="33" ht="138" customHeight="1">
      <x:c r="A33" s="50" t="str">
        <x:v>D027</x:v>
      </x:c>
      <x:c r="B33" s="50" t="str">
        <x:v>Applications and eligibility</x:v>
      </x:c>
      <x:c r="C33" s="50" t="str">
        <x:v>Rental; program-specific branches</x:v>
      </x:c>
      <x:c r="D33" s="50" t="str">
        <x:v>Is an application complete and authentic?</x:v>
      </x:c>
      <x:c r="E33" s="50" t="str">
        <x:v>Submission</x:v>
      </x:c>
      <x:c r="F33" s="50" t="str">
        <x:v>Required fields; consent; ID; income; references</x:v>
      </x:c>
      <x:c r="G33" s="50" t="str">
        <x:v>Accept for review; request missing item; investigate mismatch</x:v>
      </x:c>
      <x:c r="H33" s="50" t="str">
        <x:v>Leasing team under policy</x:v>
      </x:c>
      <x:c r="I33" s="50" t="str">
        <x:v>Administrator</x:v>
      </x:c>
      <x:c r="J33" s="50" t="str">
        <x:v>Complete usable application</x:v>
      </x:c>
      <x:c r="K33" s="50" t="str">
        <x:v>Data minimization; accessible alternative; fraud false positives</x:v>
      </x:c>
      <x:c r="L33" s="50" t="str">
        <x:v>Collect and cross-check; uncertain fraud requires review</x:v>
      </x:c>
      <x:c r="M33" s="50" t="str">
        <x:v>Published criteria; source access</x:v>
      </x:c>
      <x:c r="N33" s="50" t="str">
        <x:v>What missing information creates repeated contact?</x:v>
      </x:c>
      <x:c r="O33" s="50" t="str">
        <x:v>O03;O04;O07</x:v>
      </x:c>
      <x:c r="P33" s="50" t="str">
        <x:v>https://www.ftc.gov/business-guidance/resources/using-consumer-reports-what-landlords-need-know
https://www.justice.gov/opa/pr/justice-department-requires-realpage-end-sharing-competitively-sensitive-information-and
https://archives.hud.gov/offices/adm/hudclips/handbooks/hsgh/43503c4HSGH.PDF</x:v>
      </x:c>
      <x:c r="Q33" s="50" t="str">
        <x:v>Domain anchors support parts of the decision family. The decision taxonomy and automation hypotheses are original synthesis, not claims validated in full by each source.</x:v>
      </x:c>
      <x:c r="R33" s="50" t="str">
        <x:v>O03: July 2023 page; federal FCRA anchor does not replace state/local screening restrictions
O04: Proposed settlement announcement 2025-11-24; not a universal prohibition on all pricing software; current docket and local laws needed before implementation
O07: Historical architecture source only; current HOTMA/program notices and law must govern actual rules</x:v>
      </x:c>
      <x:c r="S33" s="2"/>
    </x:row>
    <x:row r="34" ht="138" customHeight="1">
      <x:c r="A34" s="50" t="str">
        <x:v>D028</x:v>
      </x:c>
      <x:c r="B34" s="50" t="str">
        <x:v>Applications and eligibility</x:v>
      </x:c>
      <x:c r="C34" s="50" t="str">
        <x:v>Rental; program-specific branches</x:v>
      </x:c>
      <x:c r="D34" s="50" t="str">
        <x:v>Which screening checks are permitted and necessary?</x:v>
      </x:c>
      <x:c r="E34" s="50" t="str">
        <x:v>Application ready</x:v>
      </x:c>
      <x:c r="F34" s="50" t="str">
        <x:v>Applicable rules; consent; published criteria; program</x:v>
      </x:c>
      <x:c r="G34" s="50" t="str">
        <x:v>Run permitted checks; omit prohibited check; obtain consent</x:v>
      </x:c>
      <x:c r="H34" s="50" t="str">
        <x:v>Owner policy with legal review</x:v>
      </x:c>
      <x:c r="I34" s="50" t="str">
        <x:v>Screening provider and leasing</x:v>
      </x:c>
      <x:c r="J34" s="50" t="str">
        <x:v>Proportionate lawful screening</x:v>
      </x:c>
      <x:c r="K34" s="50" t="str">
        <x:v>FCRA; fair housing; local restrictions</x:v>
      </x:c>
      <x:c r="L34" s="50" t="str">
        <x:v>Policy-based check selection; no blanket national assumptions</x:v>
      </x:c>
      <x:c r="M34" s="50" t="str">
        <x:v>Property jurisdiction; applicant/program type</x:v>
      </x:c>
      <x:c r="N34" s="50" t="str">
        <x:v>Are expensive checks actually predictive and lawful?</x:v>
      </x:c>
      <x:c r="O34" s="50" t="str">
        <x:v>O03;O04;O07</x:v>
      </x:c>
      <x:c r="P34" s="50" t="str">
        <x:v>https://www.ftc.gov/business-guidance/resources/using-consumer-reports-what-landlords-need-know
https://www.justice.gov/opa/pr/justice-department-requires-realpage-end-sharing-competitively-sensitive-information-and
https://archives.hud.gov/offices/adm/hudclips/handbooks/hsgh/43503c4HSGH.PDF</x:v>
      </x:c>
      <x:c r="Q34" s="50" t="str">
        <x:v>Domain anchors support parts of the decision family. The decision taxonomy and automation hypotheses are original synthesis, not claims validated in full by each source.</x:v>
      </x:c>
      <x:c r="R34" s="50" t="str">
        <x:v>O03: July 2023 page; federal FCRA anchor does not replace state/local screening restrictions
O04: Proposed settlement announcement 2025-11-24; not a universal prohibition on all pricing software; current docket and local laws needed before implementation
O07: Historical architecture source only; current HOTMA/program notices and law must govern actual rules</x:v>
      </x:c>
      <x:c r="S34" s="2"/>
    </x:row>
    <x:row r="35" ht="138" customHeight="1">
      <x:c r="A35" s="50" t="str">
        <x:v>D029</x:v>
      </x:c>
      <x:c r="B35" s="50" t="str">
        <x:v>Applications and eligibility</x:v>
      </x:c>
      <x:c r="C35" s="50" t="str">
        <x:v>Rental; program-specific branches</x:v>
      </x:c>
      <x:c r="D35" s="50" t="str">
        <x:v>Approve; condition; or decline applicant?</x:v>
      </x:c>
      <x:c r="E35" s="50" t="str">
        <x:v>Screening complete</x:v>
      </x:c>
      <x:c r="F35" s="50" t="str">
        <x:v>Verified criteria; reports; disputes; accommodation; unit eligibility</x:v>
      </x:c>
      <x:c r="G35" s="50" t="str">
        <x:v>Approve; permitted condition; request review; decline</x:v>
      </x:c>
      <x:c r="H35" s="50" t="str">
        <x:v>Delegated authorized decision maker</x:v>
      </x:c>
      <x:c r="I35" s="50" t="str">
        <x:v>Leasing team</x:v>
      </x:c>
      <x:c r="J35" s="50" t="str">
        <x:v>Consistent lawful tenancy decision</x:v>
      </x:c>
      <x:c r="K35" s="50" t="str">
        <x:v>Fair housing; FCRA; written criteria; local restrictions</x:v>
      </x:c>
      <x:c r="L35" s="50" t="str">
        <x:v>Calculate policy fit; explain exceptions; validated authority required</x:v>
      </x:c>
      <x:c r="M35" s="50" t="str">
        <x:v>Screening; affordable eligibility; unit offer</x:v>
      </x:c>
      <x:c r="N35" s="50" t="str">
        <x:v>Which decisions truly require discretion?</x:v>
      </x:c>
      <x:c r="O35" s="50" t="str">
        <x:v>O03;O04;O07</x:v>
      </x:c>
      <x:c r="P35" s="50" t="str">
        <x:v>https://www.ftc.gov/business-guidance/resources/using-consumer-reports-what-landlords-need-know
https://www.justice.gov/opa/pr/justice-department-requires-realpage-end-sharing-competitively-sensitive-information-and
https://archives.hud.gov/offices/adm/hudclips/handbooks/hsgh/43503c4HSGH.PDF</x:v>
      </x:c>
      <x:c r="Q35" s="50" t="str">
        <x:v>Domain anchors support parts of the decision family. The decision taxonomy and automation hypotheses are original synthesis, not claims validated in full by each source.</x:v>
      </x:c>
      <x:c r="R35" s="50" t="str">
        <x:v>O03: July 2023 page; federal FCRA anchor does not replace state/local screening restrictions
O04: Proposed settlement announcement 2025-11-24; not a universal prohibition on all pricing software; current docket and local laws needed before implementation
O07: Historical architecture source only; current HOTMA/program notices and law must govern actual rules</x:v>
      </x:c>
      <x:c r="S35" s="2"/>
    </x:row>
    <x:row r="36" ht="138" customHeight="1">
      <x:c r="A36" s="50" t="str">
        <x:v>D030</x:v>
      </x:c>
      <x:c r="B36" s="50" t="str">
        <x:v>Applications and eligibility</x:v>
      </x:c>
      <x:c r="C36" s="50" t="str">
        <x:v>Rental; program-specific branches</x:v>
      </x:c>
      <x:c r="D36" s="50" t="str">
        <x:v>What adverse-action or dispute response is due?</x:v>
      </x:c>
      <x:c r="E36" s="50" t="str">
        <x:v>Unfavorable report-influenced decision</x:v>
      </x:c>
      <x:c r="F36" s="50" t="str">
        <x:v>Report supplier; score if used; grounds; applicant contact</x:v>
      </x:c>
      <x:c r="G36" s="50" t="str">
        <x:v>Required notice; corrected decision; investigation</x:v>
      </x:c>
      <x:c r="H36" s="50" t="str">
        <x:v>Housing provider</x:v>
      </x:c>
      <x:c r="I36" s="50" t="str">
        <x:v>Leasing or compliance staff</x:v>
      </x:c>
      <x:c r="J36" s="50" t="str">
        <x:v>Applicant informed and error correction possible</x:v>
      </x:c>
      <x:c r="K36" s="50" t="str">
        <x:v>FCRA trigger includes partial reliance; content requirements</x:v>
      </x:c>
      <x:c r="L36" s="50" t="str">
        <x:v>Generate and track compliant notice from actual inputs</x:v>
      </x:c>
      <x:c r="M36" s="50" t="str">
        <x:v>Application decision; report versions</x:v>
      </x:c>
      <x:c r="N36" s="50" t="str">
        <x:v>Do conditions receive the same notice treatment as denials?</x:v>
      </x:c>
      <x:c r="O36" s="50" t="str">
        <x:v>O03;O04;O07</x:v>
      </x:c>
      <x:c r="P36" s="50" t="str">
        <x:v>https://www.ftc.gov/business-guidance/resources/using-consumer-reports-what-landlords-need-know
https://www.justice.gov/opa/pr/justice-department-requires-realpage-end-sharing-competitively-sensitive-information-and
https://archives.hud.gov/offices/adm/hudclips/handbooks/hsgh/43503c4HSGH.PDF</x:v>
      </x:c>
      <x:c r="Q36" s="50" t="str">
        <x:v>Domain anchors support parts of the decision family. The decision taxonomy and automation hypotheses are original synthesis, not claims validated in full by each source.</x:v>
      </x:c>
      <x:c r="R36" s="50" t="str">
        <x:v>O03: July 2023 page; federal FCRA anchor does not replace state/local screening restrictions
O04: Proposed settlement announcement 2025-11-24; not a universal prohibition on all pricing software; current docket and local laws needed before implementation
O07: Historical architecture source only; current HOTMA/program notices and law must govern actual rules</x:v>
      </x:c>
      <x:c r="S36" s="2"/>
    </x:row>
    <x:row r="37" ht="138" customHeight="1">
      <x:c r="A37" s="50" t="str">
        <x:v>D031</x:v>
      </x:c>
      <x:c r="B37" s="50" t="str">
        <x:v>Applications and eligibility</x:v>
      </x:c>
      <x:c r="C37" s="50" t="str">
        <x:v>Rental; program-specific branches</x:v>
      </x:c>
      <x:c r="D37" s="50" t="str">
        <x:v>How should competing applicants or waitlists be handled?</x:v>
      </x:c>
      <x:c r="E37" s="50" t="str">
        <x:v>Multiple eligible households or vacancy</x:v>
      </x:c>
      <x:c r="F37" s="50" t="str">
        <x:v>Timestamp; priority rules; preferences; unit needs</x:v>
      </x:c>
      <x:c r="G37" s="50" t="str">
        <x:v>Published queue; lawful preference; offer next; keep waiting</x:v>
      </x:c>
      <x:c r="H37" s="50" t="str">
        <x:v>PM under approved program/policy</x:v>
      </x:c>
      <x:c r="I37" s="50" t="str">
        <x:v>Leasing administrator</x:v>
      </x:c>
      <x:c r="J37" s="50" t="str">
        <x:v>Fair consistent allocation</x:v>
      </x:c>
      <x:c r="K37" s="50" t="str">
        <x:v>Program rules; discrimination; auditability</x:v>
      </x:c>
      <x:c r="L37" s="50" t="str">
        <x:v>Apply explicit queue and track skipped offers</x:v>
      </x:c>
      <x:c r="M37" s="50" t="str">
        <x:v>Eligibility; unit suitability</x:v>
      </x:c>
      <x:c r="N37" s="50" t="str">
        <x:v>Are offers and expired deadlines visible?</x:v>
      </x:c>
      <x:c r="O37" s="50" t="str">
        <x:v>O03;O04;O07</x:v>
      </x:c>
      <x:c r="P37" s="50" t="str">
        <x:v>https://www.ftc.gov/business-guidance/resources/using-consumer-reports-what-landlords-need-know
https://www.justice.gov/opa/pr/justice-department-requires-realpage-end-sharing-competitively-sensitive-information-and
https://archives.hud.gov/offices/adm/hudclips/handbooks/hsgh/43503c4HSGH.PDF</x:v>
      </x:c>
      <x:c r="Q37" s="50" t="str">
        <x:v>Domain anchors support parts of the decision family. The decision taxonomy and automation hypotheses are original synthesis, not claims validated in full by each source.</x:v>
      </x:c>
      <x:c r="R37" s="50" t="str">
        <x:v>O03: July 2023 page; federal FCRA anchor does not replace state/local screening restrictions
O04: Proposed settlement announcement 2025-11-24; not a universal prohibition on all pricing software; current docket and local laws needed before implementation
O07: Historical architecture source only; current HOTMA/program notices and law must govern actual rules</x:v>
      </x:c>
      <x:c r="S37" s="2"/>
    </x:row>
    <x:row r="38" ht="138" customHeight="1">
      <x:c r="A38" s="50" t="str">
        <x:v>D032</x:v>
      </x:c>
      <x:c r="B38" s="50" t="str">
        <x:v>Applications and eligibility</x:v>
      </x:c>
      <x:c r="C38" s="50" t="str">
        <x:v>Rental; program-specific branches</x:v>
      </x:c>
      <x:c r="D38" s="50" t="str">
        <x:v>Is subsidy or restricted-unit eligibility established?</x:v>
      </x:c>
      <x:c r="E38" s="50" t="str">
        <x:v>Affordable application or recertification</x:v>
      </x:c>
      <x:c r="F38" s="50" t="str">
        <x:v>Program; household; income; assets; unit limits; agency decisions</x:v>
      </x:c>
      <x:c r="G38" s="50" t="str">
        <x:v>Approve; request verification; recalculate; refer</x:v>
      </x:c>
      <x:c r="H38" s="50" t="str">
        <x:v>Authorized compliance role; agency where required</x:v>
      </x:c>
      <x:c r="I38" s="50" t="str">
        <x:v>Compliance specialist</x:v>
      </x:c>
      <x:c r="J38" s="50" t="str">
        <x:v>Correct eligible occupancy and assistance</x:v>
      </x:c>
      <x:c r="K38" s="50" t="str">
        <x:v>Program-specific rules and effective dates</x:v>
      </x:c>
      <x:c r="L38" s="50" t="str">
        <x:v>Calculate from verified facts with program version control</x:v>
      </x:c>
      <x:c r="M38" s="50" t="str">
        <x:v>Waitlist; unit designation; assistance contract</x:v>
      </x:c>
      <x:c r="N38" s="50" t="str">
        <x:v>Which rules belong to PM versus housing agency?</x:v>
      </x:c>
      <x:c r="O38" s="50" t="str">
        <x:v>O03;O04;O07</x:v>
      </x:c>
      <x:c r="P38" s="50" t="str">
        <x:v>https://www.ftc.gov/business-guidance/resources/using-consumer-reports-what-landlords-need-know
https://www.justice.gov/opa/pr/justice-department-requires-realpage-end-sharing-competitively-sensitive-information-and
https://archives.hud.gov/offices/adm/hudclips/handbooks/hsgh/43503c4HSGH.PDF</x:v>
      </x:c>
      <x:c r="Q38" s="50" t="str">
        <x:v>Domain anchors support parts of the decision family. The decision taxonomy and automation hypotheses are original synthesis, not claims validated in full by each source.</x:v>
      </x:c>
      <x:c r="R38" s="50" t="str">
        <x:v>O03: July 2023 page; federal FCRA anchor does not replace state/local screening restrictions
O04: Proposed settlement announcement 2025-11-24; not a universal prohibition on all pricing software; current docket and local laws needed before implementation
O07: Historical architecture source only; current HOTMA/program notices and law must govern actual rules</x:v>
      </x:c>
      <x:c r="S38" s="2"/>
    </x:row>
    <x:row r="39" ht="99" customHeight="1">
      <x:c r="A39" s="50" t="str">
        <x:v>D033</x:v>
      </x:c>
      <x:c r="B39" s="50" t="str">
        <x:v>Lease and move-in</x:v>
      </x:c>
      <x:c r="C39" s="50" t="str">
        <x:v>Rental; hospitality uses booking/license variants</x:v>
      </x:c>
      <x:c r="D39" s="50" t="str">
        <x:v>Which lease terms and deviations are acceptable?</x:v>
      </x:c>
      <x:c r="E39" s="50" t="str">
        <x:v>Accepted applicant or commercial negotiation</x:v>
      </x:c>
      <x:c r="F39" s="50" t="str">
        <x:v>Approved form; offer; authority; incentives; risk</x:v>
      </x:c>
      <x:c r="G39" s="50" t="str">
        <x:v>Standard form; allowed deviation; counteroffer; legal review</x:v>
      </x:c>
      <x:c r="H39" s="50" t="str">
        <x:v>Owner or delegated signer</x:v>
      </x:c>
      <x:c r="I39" s="50" t="str">
        <x:v>Leasing staff and counsel</x:v>
      </x:c>
      <x:c r="J39" s="50" t="str">
        <x:v>Enforceable understood agreement</x:v>
      </x:c>
      <x:c r="K39" s="50" t="str">
        <x:v>Mandatory disclosures; concessions; signature authority</x:v>
      </x:c>
      <x:c r="L39" s="50" t="str">
        <x:v>Populate standard terms and flag deviations</x:v>
      </x:c>
      <x:c r="M39" s="50" t="str">
        <x:v>Screening; pricing; readiness</x:v>
      </x:c>
      <x:c r="N39" s="50" t="str">
        <x:v>How much negotiating discretion exists?</x:v>
      </x:c>
      <x:c r="O39" s="50" t="str">
        <x:v>O01;O05</x:v>
      </x:c>
      <x:c r="P39" s="50" t="str">
        <x:v>https://www.dre.ca.gov/files/pdf/refbook/ref22.pdf
https://www.epa.gov/lead/real-estate-disclosures-about-potential-lead-hazards</x:v>
      </x:c>
      <x:c r="Q39" s="50" t="str">
        <x:v>Domain anchors support parts of the decision family. The decision taxonomy and automation hypotheses are original synthesis, not claims validated in full by each source.</x:v>
      </x:c>
      <x:c r="R39" s="50" t="str">
        <x:v>O01: Background scope anchor; not current fee benchmark or complete legal implementation; decision taxonomy is original synthesis
O05: Illustrative disclosure family; exemptions and renovation requirements need property-specific review</x:v>
      </x:c>
      <x:c r="S39" s="2"/>
    </x:row>
    <x:row r="40" ht="99" customHeight="1">
      <x:c r="A40" s="50" t="str">
        <x:v>D034</x:v>
      </x:c>
      <x:c r="B40" s="50" t="str">
        <x:v>Lease and move-in</x:v>
      </x:c>
      <x:c r="C40" s="50" t="str">
        <x:v>Rental; hospitality uses booking/license variants</x:v>
      </x:c>
      <x:c r="D40" s="50" t="str">
        <x:v>Are required disclosures and signatures complete?</x:v>
      </x:c>
      <x:c r="E40" s="50" t="str">
        <x:v>Before execution or possession</x:v>
      </x:c>
      <x:c r="F40" s="50" t="str">
        <x:v>Applicable forms; parties; guarantors; signed versions</x:v>
      </x:c>
      <x:c r="G40" s="50" t="str">
        <x:v>Complete; correct; delay execution</x:v>
      </x:c>
      <x:c r="H40" s="50" t="str">
        <x:v>Authorized leasing staff</x:v>
      </x:c>
      <x:c r="I40" s="50" t="str">
        <x:v>Administrator and signers</x:v>
      </x:c>
      <x:c r="J40" s="50" t="str">
        <x:v>Valid documented agreement</x:v>
      </x:c>
      <x:c r="K40" s="50" t="str">
        <x:v>Jurisdiction; lead disclosure; program notices</x:v>
      </x:c>
      <x:c r="L40" s="50" t="str">
        <x:v>Completeness checks and signature routing</x:v>
      </x:c>
      <x:c r="M40" s="50" t="str">
        <x:v>Building age; assistance program; lease version</x:v>
      </x:c>
      <x:c r="N40" s="50" t="str">
        <x:v>Which missing signature later causes disputes?</x:v>
      </x:c>
      <x:c r="O40" s="50" t="str">
        <x:v>O01;O05</x:v>
      </x:c>
      <x:c r="P40" s="50" t="str">
        <x:v>https://www.dre.ca.gov/files/pdf/refbook/ref22.pdf
https://www.epa.gov/lead/real-estate-disclosures-about-potential-lead-hazards</x:v>
      </x:c>
      <x:c r="Q40" s="50" t="str">
        <x:v>Domain anchors support parts of the decision family. The decision taxonomy and automation hypotheses are original synthesis, not claims validated in full by each source.</x:v>
      </x:c>
      <x:c r="R40" s="50" t="str">
        <x:v>O01: Background scope anchor; not current fee benchmark or complete legal implementation; decision taxonomy is original synthesis
O05: Illustrative disclosure family; exemptions and renovation requirements need property-specific review</x:v>
      </x:c>
      <x:c r="S40" s="2"/>
    </x:row>
    <x:row r="41" ht="99" customHeight="1">
      <x:c r="A41" s="50" t="str">
        <x:v>D035</x:v>
      </x:c>
      <x:c r="B41" s="50" t="str">
        <x:v>Lease and move-in</x:v>
      </x:c>
      <x:c r="C41" s="50" t="str">
        <x:v>Rental; hospitality uses booking/license variants</x:v>
      </x:c>
      <x:c r="D41" s="50" t="str">
        <x:v>Is the unit physically and legally ready?</x:v>
      </x:c>
      <x:c r="E41" s="50" t="str">
        <x:v>Move-in imminent</x:v>
      </x:c>
      <x:c r="F41" s="50" t="str">
        <x:v>Inspection; repairs; utilities; occupancy approval; keys</x:v>
      </x:c>
      <x:c r="G41" s="50" t="str">
        <x:v>Release; fix; delay; relocate; credit</x:v>
      </x:c>
      <x:c r="H41" s="50" t="str">
        <x:v>PM with qualified inspector where required</x:v>
      </x:c>
      <x:c r="I41" s="50" t="str">
        <x:v>Maintenance and leasing</x:v>
      </x:c>
      <x:c r="J41" s="50" t="str">
        <x:v>Safe usable promised space</x:v>
      </x:c>
      <x:c r="K41" s="50" t="str">
        <x:v>Habitability; occupancy permits; accessibility</x:v>
      </x:c>
      <x:c r="L41" s="50" t="str">
        <x:v>Coordinate checklist and verify completion; field facts required</x:v>
      </x:c>
      <x:c r="M41" s="50" t="str">
        <x:v>Turn work; utilities; permits</x:v>
      </x:c>
      <x:c r="N41" s="50" t="str">
        <x:v>Who actually certifies ready rather than clicks complete?</x:v>
      </x:c>
      <x:c r="O41" s="50" t="str">
        <x:v>O01;O05</x:v>
      </x:c>
      <x:c r="P41" s="50" t="str">
        <x:v>https://www.dre.ca.gov/files/pdf/refbook/ref22.pdf
https://www.epa.gov/lead/real-estate-disclosures-about-potential-lead-hazards</x:v>
      </x:c>
      <x:c r="Q41" s="50" t="str">
        <x:v>Domain anchors support parts of the decision family. The decision taxonomy and automation hypotheses are original synthesis, not claims validated in full by each source.</x:v>
      </x:c>
      <x:c r="R41" s="50" t="str">
        <x:v>O01: Background scope anchor; not current fee benchmark or complete legal implementation; decision taxonomy is original synthesis
O05: Illustrative disclosure family; exemptions and renovation requirements need property-specific review</x:v>
      </x:c>
      <x:c r="S41" s="2"/>
    </x:row>
    <x:row r="42" ht="99" customHeight="1">
      <x:c r="A42" s="50" t="str">
        <x:v>D036</x:v>
      </x:c>
      <x:c r="B42" s="50" t="str">
        <x:v>Lease and move-in</x:v>
      </x:c>
      <x:c r="C42" s="50" t="str">
        <x:v>Rental; hospitality uses booking/license variants</x:v>
      </x:c>
      <x:c r="D42" s="50" t="str">
        <x:v>Can possession and access be released?</x:v>
      </x:c>
      <x:c r="E42" s="50" t="str">
        <x:v>Lease start or early-access request</x:v>
      </x:c>
      <x:c r="F42" s="50" t="str">
        <x:v>Executed agreement; cleared funds; legal status; readiness</x:v>
      </x:c>
      <x:c r="G42" s="50" t="str">
        <x:v>Release; condition; reschedule; temporary alternative</x:v>
      </x:c>
      <x:c r="H42" s="50" t="str">
        <x:v>PM under policy</x:v>
      </x:c>
      <x:c r="I42" s="50" t="str">
        <x:v>Leasing and access staff</x:v>
      </x:c>
      <x:c r="J42" s="50" t="str">
        <x:v>Correct occupant receives authorized access</x:v>
      </x:c>
      <x:c r="K42" s="50" t="str">
        <x:v>Funds finality; promised date; current occupant rights</x:v>
      </x:c>
      <x:c r="L42" s="50" t="str">
        <x:v>Release access only on explicit verified conditions</x:v>
      </x:c>
      <x:c r="M42" s="50" t="str">
        <x:v>Readiness; payment; signatures</x:v>
      </x:c>
      <x:c r="N42" s="50" t="str">
        <x:v>Which condition is often overridden informally?</x:v>
      </x:c>
      <x:c r="O42" s="50" t="str">
        <x:v>O01;O05</x:v>
      </x:c>
      <x:c r="P42" s="50" t="str">
        <x:v>https://www.dre.ca.gov/files/pdf/refbook/ref22.pdf
https://www.epa.gov/lead/real-estate-disclosures-about-potential-lead-hazards</x:v>
      </x:c>
      <x:c r="Q42" s="50" t="str">
        <x:v>Domain anchors support parts of the decision family. The decision taxonomy and automation hypotheses are original synthesis, not claims validated in full by each source.</x:v>
      </x:c>
      <x:c r="R42" s="50" t="str">
        <x:v>O01: Background scope anchor; not current fee benchmark or complete legal implementation; decision taxonomy is original synthesis
O05: Illustrative disclosure family; exemptions and renovation requirements need property-specific review</x:v>
      </x:c>
      <x:c r="S42" s="2"/>
    </x:row>
    <x:row r="43" ht="99" customHeight="1">
      <x:c r="A43" s="50" t="str">
        <x:v>D037</x:v>
      </x:c>
      <x:c r="B43" s="50" t="str">
        <x:v>Lease and move-in</x:v>
      </x:c>
      <x:c r="C43" s="50" t="str">
        <x:v>Rental; hospitality uses booking/license variants</x:v>
      </x:c>
      <x:c r="D43" s="50" t="str">
        <x:v>How are opening condition and responsibilities agreed?</x:v>
      </x:c>
      <x:c r="E43" s="50" t="str">
        <x:v>Move-in handover</x:v>
      </x:c>
      <x:c r="F43" s="50" t="str">
        <x:v>Inspection images; meter readings; inventory; lease obligations</x:v>
      </x:c>
      <x:c r="G43" s="50" t="str">
        <x:v>Accept; note defect; repair; dispute baseline</x:v>
      </x:c>
      <x:c r="H43" s="50" t="str">
        <x:v>PM and occupant</x:v>
      </x:c>
      <x:c r="I43" s="50" t="str">
        <x:v>Site team and occupant</x:v>
      </x:c>
      <x:c r="J43" s="50" t="str">
        <x:v>Shared accurate starting condition</x:v>
      </x:c>
      <x:c r="K43" s="50" t="str">
        <x:v>Privacy; accessible acknowledgement; no forced waiver</x:v>
      </x:c>
      <x:c r="L43" s="50" t="str">
        <x:v>Structure observations and route defects</x:v>
      </x:c>
      <x:c r="M43" s="50" t="str">
        <x:v>Prior turn; planned maintenance; deposit</x:v>
      </x:c>
      <x:c r="N43" s="50" t="str">
        <x:v>Do images identify unit; date; room; and defect?</x:v>
      </x:c>
      <x:c r="O43" s="50" t="str">
        <x:v>O01;O05</x:v>
      </x:c>
      <x:c r="P43" s="50" t="str">
        <x:v>https://www.dre.ca.gov/files/pdf/refbook/ref22.pdf
https://www.epa.gov/lead/real-estate-disclosures-about-potential-lead-hazards</x:v>
      </x:c>
      <x:c r="Q43" s="50" t="str">
        <x:v>Domain anchors support parts of the decision family. The decision taxonomy and automation hypotheses are original synthesis, not claims validated in full by each source.</x:v>
      </x:c>
      <x:c r="R43" s="50" t="str">
        <x:v>O01: Background scope anchor; not current fee benchmark or complete legal implementation; decision taxonomy is original synthesis
O05: Illustrative disclosure family; exemptions and renovation requirements need property-specific review</x:v>
      </x:c>
      <x:c r="S43" s="2"/>
    </x:row>
    <x:row r="44" ht="112" customHeight="1">
      <x:c r="A44" s="50" t="str">
        <x:v>D038</x:v>
      </x:c>
      <x:c r="B44" s="50" t="str">
        <x:v>Occupied-property service</x:v>
      </x:c>
      <x:c r="C44" s="50" t="str">
        <x:v>All occupied property</x:v>
      </x:c>
      <x:c r="D44" s="50" t="str">
        <x:v>What is this incoming request and who owns it?</x:v>
      </x:c>
      <x:c r="E44" s="50" t="str">
        <x:v>Call; email; portal; sensor; in-person report</x:v>
      </x:c>
      <x:c r="F44" s="50" t="str">
        <x:v>Identity; unit; facts; history; urgency</x:v>
      </x:c>
      <x:c r="G44" s="50" t="str">
        <x:v>Answer; maintenance; billing; complaint; emergency; multiple cases</x:v>
      </x:c>
      <x:c r="H44" s="50" t="str">
        <x:v>PM routing policy</x:v>
      </x:c>
      <x:c r="I44" s="50" t="str">
        <x:v>Support or automated intake</x:v>
      </x:c>
      <x:c r="J44" s="50" t="str">
        <x:v>Correct owner and next action</x:v>
      </x:c>
      <x:c r="K44" s="50" t="str">
        <x:v>Urgency; accessibility; no lost cross-channel reports</x:v>
      </x:c>
      <x:c r="L44" s="50" t="str">
        <x:v>Classify; merge duplicates; ask essential questions</x:v>
      </x:c>
      <x:c r="M44" s="50" t="str">
        <x:v>Occupancy identity; responsibility map</x:v>
      </x:c>
      <x:c r="N44" s="50" t="str">
        <x:v>How often is a complaint misfiled as information?</x:v>
      </x:c>
      <x:c r="O44" s="50" t="str">
        <x:v>O01;O08;O09</x:v>
      </x:c>
      <x:c r="P44" s="50" t="str">
        <x:v>https://www.dre.ca.gov/files/pdf/refbook/ref22.pdf
https://www.nyc.gov/site/hpd/services-and-information/heat-and-hot-water-information.page
https://www.osha.gov/laws-regs/regulations/standardnumber/1910/1910.147</x:v>
      </x:c>
      <x:c r="Q44" s="50" t="str">
        <x:v>Domain anchors support parts of the decision family. The decision taxonomy and automation hypotheses are original synthesis, not claims validated in full by each source.</x:v>
      </x:c>
      <x:c r="R44" s="50" t="str">
        <x:v>O01: Background scope anchor; not current fee benchmark or complete legal implementation; decision taxonomy is original synthesis
O08: Representative local rule; no generalization to other places
O09: Scope/exceptions depend on work and employer; not a general property-management manual</x:v>
      </x:c>
      <x:c r="S44" s="2"/>
    </x:row>
    <x:row r="45" ht="112" customHeight="1">
      <x:c r="A45" s="50" t="str">
        <x:v>D039</x:v>
      </x:c>
      <x:c r="B45" s="50" t="str">
        <x:v>Occupied-property service</x:v>
      </x:c>
      <x:c r="C45" s="50" t="str">
        <x:v>All occupied property</x:v>
      </x:c>
      <x:c r="D45" s="50" t="str">
        <x:v>What response or commitment can be made?</x:v>
      </x:c>
      <x:c r="E45" s="50" t="str">
        <x:v>Resident or tenant asks for answer</x:v>
      </x:c>
      <x:c r="F45" s="50" t="str">
        <x:v>Known status; policy; authority; expected completion</x:v>
      </x:c>
      <x:c r="G45" s="50" t="str">
        <x:v>Answer; qualify uncertainty; request fact; escalate</x:v>
      </x:c>
      <x:c r="H45" s="50" t="str">
        <x:v>PM or delegated staff</x:v>
      </x:c>
      <x:c r="I45" s="50" t="str">
        <x:v>Support</x:v>
      </x:c>
      <x:c r="J45" s="50" t="str">
        <x:v>Accurate answer with kept commitments</x:v>
      </x:c>
      <x:c r="K45" s="50" t="str">
        <x:v>No invented completion; legal promises; privacy</x:v>
      </x:c>
      <x:c r="L45" s="50" t="str">
        <x:v>Answer from current records and track promised follow-up</x:v>
      </x:c>
      <x:c r="M45" s="50" t="str">
        <x:v>Work progress; funds; availability</x:v>
      </x:c>
      <x:c r="N45" s="50" t="str">
        <x:v>What fraction of repeat messages ask for status?</x:v>
      </x:c>
      <x:c r="O45" s="50" t="str">
        <x:v>O01;O08;O09</x:v>
      </x:c>
      <x:c r="P45" s="50" t="str">
        <x:v>https://www.dre.ca.gov/files/pdf/refbook/ref22.pdf
https://www.nyc.gov/site/hpd/services-and-information/heat-and-hot-water-information.page
https://www.osha.gov/laws-regs/regulations/standardnumber/1910/1910.147</x:v>
      </x:c>
      <x:c r="Q45" s="50" t="str">
        <x:v>Domain anchors support parts of the decision family. The decision taxonomy and automation hypotheses are original synthesis, not claims validated in full by each source.</x:v>
      </x:c>
      <x:c r="R45" s="50" t="str">
        <x:v>O01: Background scope anchor; not current fee benchmark or complete legal implementation; decision taxonomy is original synthesis
O08: Representative local rule; no generalization to other places
O09: Scope/exceptions depend on work and employer; not a general property-management manual</x:v>
      </x:c>
      <x:c r="S45" s="2"/>
    </x:row>
    <x:row r="46" ht="112" customHeight="1">
      <x:c r="A46" s="50" t="str">
        <x:v>D040</x:v>
      </x:c>
      <x:c r="B46" s="50" t="str">
        <x:v>Occupied-property service</x:v>
      </x:c>
      <x:c r="C46" s="50" t="str">
        <x:v>All occupied property</x:v>
      </x:c>
      <x:c r="D46" s="50" t="str">
        <x:v>How should a complaint or service failure be resolved?</x:v>
      </x:c>
      <x:c r="E46" s="50" t="str">
        <x:v>Repeated issue; dispute; poor review</x:v>
      </x:c>
      <x:c r="F46" s="50" t="str">
        <x:v>Chronology; actual condition; prior promises; desired remedy</x:v>
      </x:c>
      <x:c r="G46" s="50" t="str">
        <x:v>Fix; explain; apologize; concession; mediation; escalation</x:v>
      </x:c>
      <x:c r="H46" s="50" t="str">
        <x:v>PM within concession authority</x:v>
      </x:c>
      <x:c r="I46" s="50" t="str">
        <x:v>PM and service team</x:v>
      </x:c>
      <x:c r="J46" s="50" t="str">
        <x:v>Underlying problem resolved and trust restored</x:v>
      </x:c>
      <x:c r="K46" s="50" t="str">
        <x:v>Retaliation; fair treatment; admission/insurance concerns</x:v>
      </x:c>
      <x:c r="L46" s="50" t="str">
        <x:v>Reconstruct facts and propose remedies; negotiation can be assisted</x:v>
      </x:c>
      <x:c r="M46" s="50" t="str">
        <x:v>Maintenance; ledger; lease</x:v>
      </x:c>
      <x:c r="N46" s="50" t="str">
        <x:v>Does manager see resident history across channels?</x:v>
      </x:c>
      <x:c r="O46" s="50" t="str">
        <x:v>O01;O08;O09</x:v>
      </x:c>
      <x:c r="P46" s="50" t="str">
        <x:v>https://www.dre.ca.gov/files/pdf/refbook/ref22.pdf
https://www.nyc.gov/site/hpd/services-and-information/heat-and-hot-water-information.page
https://www.osha.gov/laws-regs/regulations/standardnumber/1910/1910.147</x:v>
      </x:c>
      <x:c r="Q46" s="50" t="str">
        <x:v>Domain anchors support parts of the decision family. The decision taxonomy and automation hypotheses are original synthesis, not claims validated in full by each source.</x:v>
      </x:c>
      <x:c r="R46" s="50" t="str">
        <x:v>O01: Background scope anchor; not current fee benchmark or complete legal implementation; decision taxonomy is original synthesis
O08: Representative local rule; no generalization to other places
O09: Scope/exceptions depend on work and employer; not a general property-management manual</x:v>
      </x:c>
      <x:c r="S46" s="2"/>
    </x:row>
    <x:row r="47" ht="112" customHeight="1">
      <x:c r="A47" s="50" t="str">
        <x:v>D041</x:v>
      </x:c>
      <x:c r="B47" s="50" t="str">
        <x:v>Occupied-property service</x:v>
      </x:c>
      <x:c r="C47" s="50" t="str">
        <x:v>All occupied property</x:v>
      </x:c>
      <x:c r="D47" s="50" t="str">
        <x:v>Is an accommodation or modification required?</x:v>
      </x:c>
      <x:c r="E47" s="50" t="str">
        <x:v>Request or apparent access barrier</x:v>
      </x:c>
      <x:c r="F47" s="50" t="str">
        <x:v>Request; property; applicable law; necessary information</x:v>
      </x:c>
      <x:c r="G47" s="50" t="str">
        <x:v>Grant; discuss alternatives; seek limited verification; legal review</x:v>
      </x:c>
      <x:c r="H47" s="50" t="str">
        <x:v>Authorized PM/compliance role</x:v>
      </x:c>
      <x:c r="I47" s="50" t="str">
        <x:v>PM and qualified specialist</x:v>
      </x:c>
      <x:c r="J47" s="50" t="str">
        <x:v>Equal practical access under applicable obligations</x:v>
      </x:c>
      <x:c r="K47" s="50" t="str">
        <x:v>Current law; privacy; individualized facts; no unsupported denial</x:v>
      </x:c>
      <x:c r="L47" s="50" t="str">
        <x:v>Track request and deadlines; support fact-specific decision</x:v>
      </x:c>
      <x:c r="M47" s="50" t="str">
        <x:v>Physical modification; policies; funding</x:v>
      </x:c>
      <x:c r="N47" s="50" t="str">
        <x:v>Are requests recognized when no formal terminology is used?</x:v>
      </x:c>
      <x:c r="O47" s="50" t="str">
        <x:v>O01;O08;O09</x:v>
      </x:c>
      <x:c r="P47" s="50" t="str">
        <x:v>https://www.dre.ca.gov/files/pdf/refbook/ref22.pdf
https://www.nyc.gov/site/hpd/services-and-information/heat-and-hot-water-information.page
https://www.osha.gov/laws-regs/regulations/standardnumber/1910/1910.147</x:v>
      </x:c>
      <x:c r="Q47" s="50" t="str">
        <x:v>Domain anchors support parts of the decision family. The decision taxonomy and automation hypotheses are original synthesis, not claims validated in full by each source.</x:v>
      </x:c>
      <x:c r="R47" s="50" t="str">
        <x:v>O01: Background scope anchor; not current fee benchmark or complete legal implementation; decision taxonomy is original synthesis
O08: Representative local rule; no generalization to other places
O09: Scope/exceptions depend on work and employer; not a general property-management manual</x:v>
      </x:c>
      <x:c r="S47" s="2"/>
    </x:row>
    <x:row r="48" ht="112" customHeight="1">
      <x:c r="A48" s="50" t="str">
        <x:v>D042</x:v>
      </x:c>
      <x:c r="B48" s="50" t="str">
        <x:v>Occupied-property service</x:v>
      </x:c>
      <x:c r="C48" s="50" t="str">
        <x:v>All occupied property</x:v>
      </x:c>
      <x:c r="D48" s="50" t="str">
        <x:v>What action follows neighbor conduct or nuisance?</x:v>
      </x:c>
      <x:c r="E48" s="50" t="str">
        <x:v>Noise; threat; harassment; repeated violation</x:v>
      </x:c>
      <x:c r="F48" s="50" t="str">
        <x:v>Reports; corroboration; lease; safety; prior actions</x:v>
      </x:c>
      <x:c r="G48" s="50" t="str">
        <x:v>De-escalate; investigate; warn; remedy; legal action</x:v>
      </x:c>
      <x:c r="H48" s="50" t="str">
        <x:v>PM; authorities for immediate danger</x:v>
      </x:c>
      <x:c r="I48" s="50" t="str">
        <x:v>PM; security; counsel</x:v>
      </x:c>
      <x:c r="J48" s="50" t="str">
        <x:v>Safe lawful use without unfair enforcement</x:v>
      </x:c>
      <x:c r="K48" s="50" t="str">
        <x:v>Fair housing; retaliation; proof; privacy</x:v>
      </x:c>
      <x:c r="L48" s="50" t="str">
        <x:v>Detect patterns and draft communications; verify material facts</x:v>
      </x:c>
      <x:c r="M48" s="50" t="str">
        <x:v>Complaint handling; legal notices</x:v>
      </x:c>
      <x:c r="N48" s="50" t="str">
        <x:v>How are conflicting accounts handled?</x:v>
      </x:c>
      <x:c r="O48" s="50" t="str">
        <x:v>O01;O08;O09</x:v>
      </x:c>
      <x:c r="P48" s="50" t="str">
        <x:v>https://www.dre.ca.gov/files/pdf/refbook/ref22.pdf
https://www.nyc.gov/site/hpd/services-and-information/heat-and-hot-water-information.page
https://www.osha.gov/laws-regs/regulations/standardnumber/1910/1910.147</x:v>
      </x:c>
      <x:c r="Q48" s="50" t="str">
        <x:v>Domain anchors support parts of the decision family. The decision taxonomy and automation hypotheses are original synthesis, not claims validated in full by each source.</x:v>
      </x:c>
      <x:c r="R48" s="50" t="str">
        <x:v>O01: Background scope anchor; not current fee benchmark or complete legal implementation; decision taxonomy is original synthesis
O08: Representative local rule; no generalization to other places
O09: Scope/exceptions depend on work and employer; not a general property-management manual</x:v>
      </x:c>
      <x:c r="S48" s="2"/>
    </x:row>
    <x:row r="49" ht="112" customHeight="1">
      <x:c r="A49" s="50" t="str">
        <x:v>D043</x:v>
      </x:c>
      <x:c r="B49" s="50" t="str">
        <x:v>Occupied-property service</x:v>
      </x:c>
      <x:c r="C49" s="50" t="str">
        <x:v>All occupied property</x:v>
      </x:c>
      <x:c r="D49" s="50" t="str">
        <x:v>Should household; occupant; pet; parking; or access details change?</x:v>
      </x:c>
      <x:c r="E49" s="50" t="str">
        <x:v>Occupancy change or request</x:v>
      </x:c>
      <x:c r="F49" s="50" t="str">
        <x:v>Lease; approval criteria; current rights; access needs</x:v>
      </x:c>
      <x:c r="G49" s="50" t="str">
        <x:v>Approve; amend; request facts; refuse if lawful</x:v>
      </x:c>
      <x:c r="H49" s="50" t="str">
        <x:v>PM within policy</x:v>
      </x:c>
      <x:c r="I49" s="50" t="str">
        <x:v>Leasing and access administration</x:v>
      </x:c>
      <x:c r="J49" s="50" t="str">
        <x:v>Accurate occupancy and permissions</x:v>
      </x:c>
      <x:c r="K49" s="50" t="str">
        <x:v>Local rights; accommodation; fee restrictions</x:v>
      </x:c>
      <x:c r="L49" s="50" t="str">
        <x:v>Apply approved ordinary rules; escalate special rights issues</x:v>
      </x:c>
      <x:c r="M49" s="50" t="str">
        <x:v>Lease amendment; billing; credentials</x:v>
      </x:c>
      <x:c r="N49" s="50" t="str">
        <x:v>Which changes are currently invisible to PM?</x:v>
      </x:c>
      <x:c r="O49" s="50" t="str">
        <x:v>O01;O08;O09</x:v>
      </x:c>
      <x:c r="P49" s="50" t="str">
        <x:v>https://www.dre.ca.gov/files/pdf/refbook/ref22.pdf
https://www.nyc.gov/site/hpd/services-and-information/heat-and-hot-water-information.page
https://www.osha.gov/laws-regs/regulations/standardnumber/1910/1910.147</x:v>
      </x:c>
      <x:c r="Q49" s="50" t="str">
        <x:v>Domain anchors support parts of the decision family. The decision taxonomy and automation hypotheses are original synthesis, not claims validated in full by each source.</x:v>
      </x:c>
      <x:c r="R49" s="50" t="str">
        <x:v>O01: Background scope anchor; not current fee benchmark or complete legal implementation; decision taxonomy is original synthesis
O08: Representative local rule; no generalization to other places
O09: Scope/exceptions depend on work and employer; not a general property-management manual</x:v>
      </x:c>
      <x:c r="S49" s="2"/>
    </x:row>
    <x:row r="50" ht="112" customHeight="1">
      <x:c r="A50" s="50" t="str">
        <x:v>D044</x:v>
      </x:c>
      <x:c r="B50" s="50" t="str">
        <x:v>Occupied-property service</x:v>
      </x:c>
      <x:c r="C50" s="50" t="str">
        <x:v>All occupied property</x:v>
      </x:c>
      <x:c r="D50" s="50" t="str">
        <x:v>What service interruption requires notification or mitigation?</x:v>
      </x:c>
      <x:c r="E50" s="50" t="str">
        <x:v>Planned shutdown or unexpected outage</x:v>
      </x:c>
      <x:c r="F50" s="50" t="str">
        <x:v>Affected areas; severity; duration; service alternatives</x:v>
      </x:c>
      <x:c r="G50" s="50" t="str">
        <x:v>Notify; reschedule; temporary service; relocate; emergency response</x:v>
      </x:c>
      <x:c r="H50" s="50" t="str">
        <x:v>PM and technical lead</x:v>
      </x:c>
      <x:c r="I50" s="50" t="str">
        <x:v>Site team; utility; contractor</x:v>
      </x:c>
      <x:c r="J50" s="50" t="str">
        <x:v>Safe continuity and credible updates</x:v>
      </x:c>
      <x:c r="K50" s="50" t="str">
        <x:v>Critical services; notice; vulnerable occupants; privacy</x:v>
      </x:c>
      <x:c r="L50" s="50" t="str">
        <x:v>Identify affected units; send verified updates; chase restoration</x:v>
      </x:c>
      <x:c r="M50" s="50" t="str">
        <x:v>Repair plan; utility restoration; access</x:v>
      </x:c>
      <x:c r="N50" s="50" t="str">
        <x:v>Can affected occupants be identified immediately?</x:v>
      </x:c>
      <x:c r="O50" s="50" t="str">
        <x:v>O01;O08;O09</x:v>
      </x:c>
      <x:c r="P50" s="50" t="str">
        <x:v>https://www.dre.ca.gov/files/pdf/refbook/ref22.pdf
https://www.nyc.gov/site/hpd/services-and-information/heat-and-hot-water-information.page
https://www.osha.gov/laws-regs/regulations/standardnumber/1910/1910.147</x:v>
      </x:c>
      <x:c r="Q50" s="50" t="str">
        <x:v>Domain anchors support parts of the decision family. The decision taxonomy and automation hypotheses are original synthesis, not claims validated in full by each source.</x:v>
      </x:c>
      <x:c r="R50" s="50" t="str">
        <x:v>O01: Background scope anchor; not current fee benchmark or complete legal implementation; decision taxonomy is original synthesis
O08: Representative local rule; no generalization to other places
O09: Scope/exceptions depend on work and employer; not a general property-management manual</x:v>
      </x:c>
      <x:c r="S50" s="2"/>
    </x:row>
    <x:row r="51" ht="151" customHeight="1">
      <x:c r="A51" s="50" t="str">
        <x:v>D045</x:v>
      </x:c>
      <x:c r="B51" s="50" t="str">
        <x:v>Rent; receivables; arrears</x:v>
      </x:c>
      <x:c r="C51" s="50" t="str">
        <x:v>Rental; assessments and guest charges are variants</x:v>
      </x:c>
      <x:c r="D51" s="50" t="str">
        <x:v>What amount is due and when?</x:v>
      </x:c>
      <x:c r="E51" s="50" t="str">
        <x:v>Recurring bill; lease change; meter cycle</x:v>
      </x:c>
      <x:c r="F51" s="50" t="str">
        <x:v>Lease; subsidy; credits; usage; fees; tax</x:v>
      </x:c>
      <x:c r="G51" s="50" t="str">
        <x:v>Bill; adjust; pause disputed item; investigate</x:v>
      </x:c>
      <x:c r="H51" s="50" t="str">
        <x:v>PM/controller under policy</x:v>
      </x:c>
      <x:c r="I51" s="50" t="str">
        <x:v>Accounting</x:v>
      </x:c>
      <x:c r="J51" s="50" t="str">
        <x:v>Correct collectible charges</x:v>
      </x:c>
      <x:c r="K51" s="50" t="str">
        <x:v>Rent limits; fee law; lease; program rules</x:v>
      </x:c>
      <x:c r="L51" s="50" t="str">
        <x:v>Deterministic calculation and variance detection</x:v>
      </x:c>
      <x:c r="M51" s="50" t="str">
        <x:v>Lease terms; meter; resident change</x:v>
      </x:c>
      <x:c r="N51" s="50" t="str">
        <x:v>What share of arrears is billing error?</x:v>
      </x:c>
      <x:c r="O51" s="50" t="str">
        <x:v>O01;O02;O03;O10</x:v>
      </x:c>
      <x:c r="P51" s="50" t="str">
        <x:v>https://www.dre.ca.gov/files/pdf/refbook/ref22.pdf
https://www.dre.ca.gov/files/pdf/refbook/ref21.pdf
https://www.ftc.gov/business-guidance/resources/using-consumer-reports-what-landlords-need-know
https://www.uscourts.gov/court-programs/bankruptcy/bankruptcy-basics/chapter-11-bankruptcy-basics</x:v>
      </x:c>
      <x:c r="Q51" s="50" t="str">
        <x:v>Domain anchors support parts of the decision family. The decision taxonomy and automation hypotheses are original synthesis, not claims validated in full by each source.</x:v>
      </x:c>
      <x:c r="R51" s="50" t="str">
        <x:v>O01: Background scope anchor; not current fee benchmark or complete legal implementation; decision taxonomy is original synthesis
O02: California example; do not universalize timing or licensing details
O03: July 2023 page; federal FCRA anchor does not replace state/local screening restrictions
O10: Chapter 11 overview; particular court orders and other bankruptcy chapters differ</x:v>
      </x:c>
      <x:c r="S51" s="2"/>
    </x:row>
    <x:row r="52" ht="151" customHeight="1">
      <x:c r="A52" s="50" t="str">
        <x:v>D046</x:v>
      </x:c>
      <x:c r="B52" s="50" t="str">
        <x:v>Rent; receivables; arrears</x:v>
      </x:c>
      <x:c r="C52" s="50" t="str">
        <x:v>Rental; assessments and guest charges are variants</x:v>
      </x:c>
      <x:c r="D52" s="50" t="str">
        <x:v>Where should a payment be applied?</x:v>
      </x:c>
      <x:c r="E52" s="50" t="str">
        <x:v>Payment received</x:v>
      </x:c>
      <x:c r="F52" s="50" t="str">
        <x:v>Payer; ledger; remittance; restrictions; pending returns</x:v>
      </x:c>
      <x:c r="G52" s="50" t="str">
        <x:v>Apply; split; hold unapplied; refund</x:v>
      </x:c>
      <x:c r="H52" s="50" t="str">
        <x:v>Accounting policy</x:v>
      </x:c>
      <x:c r="I52" s="50" t="str">
        <x:v>Cash application staff</x:v>
      </x:c>
      <x:c r="J52" s="50" t="str">
        <x:v>Correct current balance</x:v>
      </x:c>
      <x:c r="K52" s="50" t="str">
        <x:v>Allocation rules; client funds; duplicate payments</x:v>
      </x:c>
      <x:c r="L52" s="50" t="str">
        <x:v>Match clear items and queue ambiguity</x:v>
      </x:c>
      <x:c r="M52" s="50" t="str">
        <x:v>Bank settlement; charge disputes</x:v>
      </x:c>
      <x:c r="N52" s="50" t="str">
        <x:v>How often is a tenant marked delinquent incorrectly?</x:v>
      </x:c>
      <x:c r="O52" s="50" t="str">
        <x:v>O01;O02;O03;O10</x:v>
      </x:c>
      <x:c r="P52" s="50" t="str">
        <x:v>https://www.dre.ca.gov/files/pdf/refbook/ref22.pdf
https://www.dre.ca.gov/files/pdf/refbook/ref21.pdf
https://www.ftc.gov/business-guidance/resources/using-consumer-reports-what-landlords-need-know
https://www.uscourts.gov/court-programs/bankruptcy/bankruptcy-basics/chapter-11-bankruptcy-basics</x:v>
      </x:c>
      <x:c r="Q52" s="50" t="str">
        <x:v>Domain anchors support parts of the decision family. The decision taxonomy and automation hypotheses are original synthesis, not claims validated in full by each source.</x:v>
      </x:c>
      <x:c r="R52" s="50" t="str">
        <x:v>O01: Background scope anchor; not current fee benchmark or complete legal implementation; decision taxonomy is original synthesis
O02: California example; do not universalize timing or licensing details
O03: July 2023 page; federal FCRA anchor does not replace state/local screening restrictions
O10: Chapter 11 overview; particular court orders and other bankruptcy chapters differ</x:v>
      </x:c>
      <x:c r="S52" s="2"/>
    </x:row>
    <x:row r="53" ht="151" customHeight="1">
      <x:c r="A53" s="50" t="str">
        <x:v>D047</x:v>
      </x:c>
      <x:c r="B53" s="50" t="str">
        <x:v>Rent; receivables; arrears</x:v>
      </x:c>
      <x:c r="C53" s="50" t="str">
        <x:v>Rental; assessments and guest charges are variants</x:v>
      </x:c>
      <x:c r="D53" s="50" t="str">
        <x:v>What follows a returned or suspicious payment?</x:v>
      </x:c>
      <x:c r="E53" s="50" t="str">
        <x:v>ACH return; card dispute; mismatch</x:v>
      </x:c>
      <x:c r="F53" s="50" t="str">
        <x:v>Bank event; prior payments; payer verification</x:v>
      </x:c>
      <x:c r="G53" s="50" t="str">
        <x:v>Repost; contact; retry if permitted; alternative payment; investigate</x:v>
      </x:c>
      <x:c r="H53" s="50" t="str">
        <x:v>Treasury/PM within policy</x:v>
      </x:c>
      <x:c r="I53" s="50" t="str">
        <x:v>Accounting and resident support</x:v>
      </x:c>
      <x:c r="J53" s="50" t="str">
        <x:v>Recover valid payment without duplicate debit</x:v>
      </x:c>
      <x:c r="K53" s="50" t="str">
        <x:v>Authorization; fees; fraud; funds finality</x:v>
      </x:c>
      <x:c r="L53" s="50" t="str">
        <x:v>Event-triggered reconciliation and approved notification</x:v>
      </x:c>
      <x:c r="M53" s="50" t="str">
        <x:v>Ledger; chargeback; possession release</x:v>
      </x:c>
      <x:c r="N53" s="50" t="str">
        <x:v>Are returns visible before distributions or move-in?</x:v>
      </x:c>
      <x:c r="O53" s="50" t="str">
        <x:v>O01;O02;O03;O10</x:v>
      </x:c>
      <x:c r="P53" s="50" t="str">
        <x:v>https://www.dre.ca.gov/files/pdf/refbook/ref22.pdf
https://www.dre.ca.gov/files/pdf/refbook/ref21.pdf
https://www.ftc.gov/business-guidance/resources/using-consumer-reports-what-landlords-need-know
https://www.uscourts.gov/court-programs/bankruptcy/bankruptcy-basics/chapter-11-bankruptcy-basics</x:v>
      </x:c>
      <x:c r="Q53" s="50" t="str">
        <x:v>Domain anchors support parts of the decision family. The decision taxonomy and automation hypotheses are original synthesis, not claims validated in full by each source.</x:v>
      </x:c>
      <x:c r="R53" s="50" t="str">
        <x:v>O01: Background scope anchor; not current fee benchmark or complete legal implementation; decision taxonomy is original synthesis
O02: California example; do not universalize timing or licensing details
O03: July 2023 page; federal FCRA anchor does not replace state/local screening restrictions
O10: Chapter 11 overview; particular court orders and other bankruptcy chapters differ</x:v>
      </x:c>
      <x:c r="S53" s="2"/>
    </x:row>
    <x:row r="54" ht="151" customHeight="1">
      <x:c r="A54" s="50" t="str">
        <x:v>D048</x:v>
      </x:c>
      <x:c r="B54" s="50" t="str">
        <x:v>Rent; receivables; arrears</x:v>
      </x:c>
      <x:c r="C54" s="50" t="str">
        <x:v>Rental; assessments and guest charges are variants</x:v>
      </x:c>
      <x:c r="D54" s="50" t="str">
        <x:v>Which overdue accounts need which action?</x:v>
      </x:c>
      <x:c r="E54" s="50" t="str">
        <x:v>Due date passed or risk signal</x:v>
      </x:c>
      <x:c r="F54" s="50" t="str">
        <x:v>Accurate balance; notices; assistance; dispute; bankruptcy</x:v>
      </x:c>
      <x:c r="G54" s="50" t="str">
        <x:v>Reminder; contact; arrangement; agency support; legal referral</x:v>
      </x:c>
      <x:c r="H54" s="50" t="str">
        <x:v>PM within collections policy</x:v>
      </x:c>
      <x:c r="I54" s="50" t="str">
        <x:v>Collections and support</x:v>
      </x:c>
      <x:c r="J54" s="50" t="str">
        <x:v>Cure arrears where feasible</x:v>
      </x:c>
      <x:c r="K54" s="50" t="str">
        <x:v>Protected circumstances; notice; consumer-reporting duties</x:v>
      </x:c>
      <x:c r="L54" s="50" t="str">
        <x:v>Segment by facts; automate ordinary reminders after checks</x:v>
      </x:c>
      <x:c r="M54" s="50" t="str">
        <x:v>Cash application; disputes; legal restrictions</x:v>
      </x:c>
      <x:c r="N54" s="50" t="str">
        <x:v>How many reminders are sent to the wrong balance?</x:v>
      </x:c>
      <x:c r="O54" s="50" t="str">
        <x:v>O01;O02;O03;O10</x:v>
      </x:c>
      <x:c r="P54" s="50" t="str">
        <x:v>https://www.dre.ca.gov/files/pdf/refbook/ref22.pdf
https://www.dre.ca.gov/files/pdf/refbook/ref21.pdf
https://www.ftc.gov/business-guidance/resources/using-consumer-reports-what-landlords-need-know
https://www.uscourts.gov/court-programs/bankruptcy/bankruptcy-basics/chapter-11-bankruptcy-basics</x:v>
      </x:c>
      <x:c r="Q54" s="50" t="str">
        <x:v>Domain anchors support parts of the decision family. The decision taxonomy and automation hypotheses are original synthesis, not claims validated in full by each source.</x:v>
      </x:c>
      <x:c r="R54" s="50" t="str">
        <x:v>O01: Background scope anchor; not current fee benchmark or complete legal implementation; decision taxonomy is original synthesis
O02: California example; do not universalize timing or licensing details
O03: July 2023 page; federal FCRA anchor does not replace state/local screening restrictions
O10: Chapter 11 overview; particular court orders and other bankruptcy chapters differ</x:v>
      </x:c>
      <x:c r="S54" s="2"/>
    </x:row>
    <x:row r="55" ht="151" customHeight="1">
      <x:c r="A55" s="50" t="str">
        <x:v>D049</x:v>
      </x:c>
      <x:c r="B55" s="50" t="str">
        <x:v>Rent; receivables; arrears</x:v>
      </x:c>
      <x:c r="C55" s="50" t="str">
        <x:v>Rental; assessments and guest charges are variants</x:v>
      </x:c>
      <x:c r="D55" s="50" t="str">
        <x:v>Should a payment plan or concession be offered?</x:v>
      </x:c>
      <x:c r="E55" s="50" t="str">
        <x:v>Hardship; dispute; negotiation</x:v>
      </x:c>
      <x:c r="F55" s="50" t="str">
        <x:v>Ability to pay; past behavior; expected vacancy/legal cost; authority</x:v>
      </x:c>
      <x:c r="G55" s="50" t="str">
        <x:v>Plan; credit; assistance referral; decline; legal review</x:v>
      </x:c>
      <x:c r="H55" s="50" t="str">
        <x:v>Owner or delegated PM</x:v>
      </x:c>
      <x:c r="I55" s="50" t="str">
        <x:v>PM and accounting</x:v>
      </x:c>
      <x:c r="J55" s="50" t="str">
        <x:v>Better lawful expected recovery and tenancy outcome</x:v>
      </x:c>
      <x:c r="K55" s="50" t="str">
        <x:v>Consistency; agreement; subsidy; no prohibited condition</x:v>
      </x:c>
      <x:c r="L55" s="50" t="str">
        <x:v>Compare options and track installments; approved policy can delegate</x:v>
      </x:c>
      <x:c r="M55" s="50" t="str">
        <x:v>Owner economics; repair dispute; budget</x:v>
      </x:c>
      <x:c r="N55" s="50" t="str">
        <x:v>Are alternatives evaluated economically or by habit?</x:v>
      </x:c>
      <x:c r="O55" s="50" t="str">
        <x:v>O01;O02;O03;O10</x:v>
      </x:c>
      <x:c r="P55" s="50" t="str">
        <x:v>https://www.dre.ca.gov/files/pdf/refbook/ref22.pdf
https://www.dre.ca.gov/files/pdf/refbook/ref21.pdf
https://www.ftc.gov/business-guidance/resources/using-consumer-reports-what-landlords-need-know
https://www.uscourts.gov/court-programs/bankruptcy/bankruptcy-basics/chapter-11-bankruptcy-basics</x:v>
      </x:c>
      <x:c r="Q55" s="50" t="str">
        <x:v>Domain anchors support parts of the decision family. The decision taxonomy and automation hypotheses are original synthesis, not claims validated in full by each source.</x:v>
      </x:c>
      <x:c r="R55" s="50" t="str">
        <x:v>O01: Background scope anchor; not current fee benchmark or complete legal implementation; decision taxonomy is original synthesis
O02: California example; do not universalize timing or licensing details
O03: July 2023 page; federal FCRA anchor does not replace state/local screening restrictions
O10: Chapter 11 overview; particular court orders and other bankruptcy chapters differ</x:v>
      </x:c>
      <x:c r="S55" s="2"/>
    </x:row>
    <x:row r="56" ht="151" customHeight="1">
      <x:c r="A56" s="50" t="str">
        <x:v>D050</x:v>
      </x:c>
      <x:c r="B56" s="50" t="str">
        <x:v>Rent; receivables; arrears</x:v>
      </x:c>
      <x:c r="C56" s="50" t="str">
        <x:v>Rental; assessments and guest charges are variants</x:v>
      </x:c>
      <x:c r="D56" s="50" t="str">
        <x:v>Should unresolved debt enter legal or external collection?</x:v>
      </x:c>
      <x:c r="E56" s="50" t="str">
        <x:v>Failed cure or tenancy end</x:v>
      </x:c>
      <x:c r="F56" s="50" t="str">
        <x:v>Validated balance; notices; service; assistance; legal holds</x:v>
      </x:c>
      <x:c r="G56" s="50" t="str">
        <x:v>Wait; settle; counsel; permitted reporting; write off</x:v>
      </x:c>
      <x:c r="H56" s="50" t="str">
        <x:v>Owner/PM authorized; counsel for filing</x:v>
      </x:c>
      <x:c r="I56" s="50" t="str">
        <x:v>Counsel or collector</x:v>
      </x:c>
      <x:c r="J56" s="50" t="str">
        <x:v>Lawful economical recovery</x:v>
      </x:c>
      <x:c r="K56" s="50" t="str">
        <x:v>Court process; bankruptcy; consumer rules; retaliation</x:v>
      </x:c>
      <x:c r="L56" s="50" t="str">
        <x:v>Prepare accurate referral and detect holds; no self-help eviction</x:v>
      </x:c>
      <x:c r="M56" s="50" t="str">
        <x:v>Notices; repairs; lease; balance</x:v>
      </x:c>
      <x:c r="N56" s="50" t="str">
        <x:v>What is expected net recovery after all costs?</x:v>
      </x:c>
      <x:c r="O56" s="50" t="str">
        <x:v>O01;O02;O03;O10</x:v>
      </x:c>
      <x:c r="P56" s="50" t="str">
        <x:v>https://www.dre.ca.gov/files/pdf/refbook/ref22.pdf
https://www.dre.ca.gov/files/pdf/refbook/ref21.pdf
https://www.ftc.gov/business-guidance/resources/using-consumer-reports-what-landlords-need-know
https://www.uscourts.gov/court-programs/bankruptcy/bankruptcy-basics/chapter-11-bankruptcy-basics</x:v>
      </x:c>
      <x:c r="Q56" s="50" t="str">
        <x:v>Domain anchors support parts of the decision family. The decision taxonomy and automation hypotheses are original synthesis, not claims validated in full by each source.</x:v>
      </x:c>
      <x:c r="R56" s="50" t="str">
        <x:v>O01: Background scope anchor; not current fee benchmark or complete legal implementation; decision taxonomy is original synthesis
O02: California example; do not universalize timing or licensing details
O03: July 2023 page; federal FCRA anchor does not replace state/local screening restrictions
O10: Chapter 11 overview; particular court orders and other bankruptcy chapters differ</x:v>
      </x:c>
      <x:c r="S56" s="2"/>
    </x:row>
    <x:row r="57" ht="125" customHeight="1">
      <x:c r="A57" s="50" t="str">
        <x:v>D051</x:v>
      </x:c>
      <x:c r="B57" s="50" t="str">
        <x:v>Reactive repairs and incidents</x:v>
      </x:c>
      <x:c r="C57" s="50" t="str">
        <x:v>All physical property</x:v>
      </x:c>
      <x:c r="D57" s="50" t="str">
        <x:v>Is immediate danger or emergency response present?</x:v>
      </x:c>
      <x:c r="E57" s="50" t="str">
        <x:v>New report or sensor alert</x:v>
      </x:c>
      <x:c r="F57" s="50" t="str">
        <x:v>Symptoms; location; affected people; hazard indicators</x:v>
      </x:c>
      <x:c r="G57" s="50" t="str">
        <x:v>Emergency services; shutoff guidance; urgent dispatch; routine route</x:v>
      </x:c>
      <x:c r="H57" s="50" t="str">
        <x:v>Trained emergency policy; responder authority</x:v>
      </x:c>
      <x:c r="I57" s="50" t="str">
        <x:v>Resident; on-call staff; emergency service</x:v>
      </x:c>
      <x:c r="J57" s="50" t="str">
        <x:v>People protected and damage limited</x:v>
      </x:c>
      <x:c r="K57" s="50" t="str">
        <x:v>No unsafe DIY; uncertain severity; critical services</x:v>
      </x:c>
      <x:c r="L57" s="50" t="str">
        <x:v>Fast triage and escalation; conservative protocols require testing</x:v>
      </x:c>
      <x:c r="M57" s="50" t="str">
        <x:v>Access; contacts; property equipment</x:v>
      </x:c>
      <x:c r="N57" s="50" t="str">
        <x:v>Which dangerous descriptions lack obvious keywords?</x:v>
      </x:c>
      <x:c r="O57" s="50" t="str">
        <x:v>O06;O08;O09;O11</x:v>
      </x:c>
      <x:c r="P57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57" s="50" t="str">
        <x:v>Domain anchors support parts of the decision family. The decision taxonomy and automation hypotheses are original synthesis, not claims validated in full by each source.</x:v>
      </x:c>
      <x:c r="R57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57" s="2"/>
    </x:row>
    <x:row r="58" ht="125" customHeight="1">
      <x:c r="A58" s="50" t="str">
        <x:v>D052</x:v>
      </x:c>
      <x:c r="B58" s="50" t="str">
        <x:v>Reactive repairs and incidents</x:v>
      </x:c>
      <x:c r="C58" s="50" t="str">
        <x:v>All physical property</x:v>
      </x:c>
      <x:c r="D58" s="50" t="str">
        <x:v>What is likely wrong and what information is missing?</x:v>
      </x:c>
      <x:c r="E58" s="50" t="str">
        <x:v>Nonemergency repair report</x:v>
      </x:c>
      <x:c r="F58" s="50" t="str">
        <x:v>Symptoms; photos; model; history; affected systems</x:v>
      </x:c>
      <x:c r="G58" s="50" t="str">
        <x:v>Clarify; safe check; remote specialist; site visit</x:v>
      </x:c>
      <x:c r="H58" s="50" t="str">
        <x:v>Maintenance lead or qualified trade</x:v>
      </x:c>
      <x:c r="I58" s="50" t="str">
        <x:v>Coordinator; resident; technician</x:v>
      </x:c>
      <x:c r="J58" s="50" t="str">
        <x:v>Enough diagnosis for appropriate response</x:v>
      </x:c>
      <x:c r="K58" s="50" t="str">
        <x:v>Skill boundaries; safety; inaccessible evidence</x:v>
      </x:c>
      <x:c r="L58" s="50" t="str">
        <x:v>Ask targeted questions and retrieve history</x:v>
      </x:c>
      <x:c r="M58" s="50" t="str">
        <x:v>Equipment record; prior repairs</x:v>
      </x:c>
      <x:c r="N58" s="50" t="str">
        <x:v>Which questions prevent a second visit?</x:v>
      </x:c>
      <x:c r="O58" s="50" t="str">
        <x:v>O06;O08;O09;O11</x:v>
      </x:c>
      <x:c r="P58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58" s="50" t="str">
        <x:v>Domain anchors support parts of the decision family. The decision taxonomy and automation hypotheses are original synthesis, not claims validated in full by each source.</x:v>
      </x:c>
      <x:c r="R58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58" s="2"/>
    </x:row>
    <x:row r="59" ht="125" customHeight="1">
      <x:c r="A59" s="50" t="str">
        <x:v>D053</x:v>
      </x:c>
      <x:c r="B59" s="50" t="str">
        <x:v>Reactive repairs and incidents</x:v>
      </x:c>
      <x:c r="C59" s="50" t="str">
        <x:v>All physical property</x:v>
      </x:c>
      <x:c r="D59" s="50" t="str">
        <x:v>Who is responsible for remedy and cost?</x:v>
      </x:c>
      <x:c r="E59" s="50" t="str">
        <x:v>Repair identified</x:v>
      </x:c>
      <x:c r="F59" s="50" t="str">
        <x:v>Lease; common-area boundary; warranty; cause; law</x:v>
      </x:c>
      <x:c r="G59" s="50" t="str">
        <x:v>Owner; association; tenant; utility; insurer; shared; investigate</x:v>
      </x:c>
      <x:c r="H59" s="50" t="str">
        <x:v>PM with counsel/technical review as needed</x:v>
      </x:c>
      <x:c r="I59" s="50" t="str">
        <x:v>Coordinator</x:v>
      </x:c>
      <x:c r="J59" s="50" t="str">
        <x:v>Work proceeds under correct responsibility</x:v>
      </x:c>
      <x:c r="K59" s="50" t="str">
        <x:v>Urgent duties can precede cost determination</x:v>
      </x:c>
      <x:c r="L59" s="50" t="str">
        <x:v>Suggest responsible parties; separate repair from later charge dispute</x:v>
      </x:c>
      <x:c r="M59" s="50" t="str">
        <x:v>Lease; asset boundary; insurance</x:v>
      </x:c>
      <x:c r="N59" s="50" t="str">
        <x:v>Does cost argument delay essential repair?</x:v>
      </x:c>
      <x:c r="O59" s="50" t="str">
        <x:v>O06;O08;O09;O11</x:v>
      </x:c>
      <x:c r="P59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59" s="50" t="str">
        <x:v>Domain anchors support parts of the decision family. The decision taxonomy and automation hypotheses are original synthesis, not claims validated in full by each source.</x:v>
      </x:c>
      <x:c r="R59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59" s="2"/>
    </x:row>
    <x:row r="60" ht="125" customHeight="1">
      <x:c r="A60" s="50" t="str">
        <x:v>D054</x:v>
      </x:c>
      <x:c r="B60" s="50" t="str">
        <x:v>Reactive repairs and incidents</x:v>
      </x:c>
      <x:c r="C60" s="50" t="str">
        <x:v>All physical property</x:v>
      </x:c>
      <x:c r="D60" s="50" t="str">
        <x:v>Which repair approach is appropriate?</x:v>
      </x:c>
      <x:c r="E60" s="50" t="str">
        <x:v>Diagnosis available</x:v>
      </x:c>
      <x:c r="F60" s="50" t="str">
        <x:v>Safety; useful life; failure history; quotes; parts; downtime</x:v>
      </x:c>
      <x:c r="G60" s="50" t="str">
        <x:v>Repair; replace; temporary fix; monitor; capital project</x:v>
      </x:c>
      <x:c r="H60" s="50" t="str">
        <x:v>PM within limits; owner beyond</x:v>
      </x:c>
      <x:c r="I60" s="50" t="str">
        <x:v>Maintenance lead and trade</x:v>
      </x:c>
      <x:c r="J60" s="50" t="str">
        <x:v>Durable economical function</x:v>
      </x:c>
      <x:c r="K60" s="50" t="str">
        <x:v>Codes; warranty; service continuity</x:v>
      </x:c>
      <x:c r="L60" s="50" t="str">
        <x:v>Compare lifetime cost and recurrence; trade validates</x:v>
      </x:c>
      <x:c r="M60" s="50" t="str">
        <x:v>Budget; capital plan; qualified diagnosis</x:v>
      </x:c>
      <x:c r="N60" s="50" t="str">
        <x:v>Is cheap initial repair creating repeat cost?</x:v>
      </x:c>
      <x:c r="O60" s="50" t="str">
        <x:v>O06;O08;O09;O11</x:v>
      </x:c>
      <x:c r="P60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60" s="50" t="str">
        <x:v>Domain anchors support parts of the decision family. The decision taxonomy and automation hypotheses are original synthesis, not claims validated in full by each source.</x:v>
      </x:c>
      <x:c r="R60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60" s="2"/>
    </x:row>
    <x:row r="61" ht="125" customHeight="1">
      <x:c r="A61" s="50" t="str">
        <x:v>D055</x:v>
      </x:c>
      <x:c r="B61" s="50" t="str">
        <x:v>Reactive repairs and incidents</x:v>
      </x:c>
      <x:c r="C61" s="50" t="str">
        <x:v>All physical property</x:v>
      </x:c>
      <x:c r="D61" s="50" t="str">
        <x:v>Can work proceed without further approval?</x:v>
      </x:c>
      <x:c r="E61" s="50" t="str">
        <x:v>Scope and estimate available</x:v>
      </x:c>
      <x:c r="F61" s="50" t="str">
        <x:v>Authority; urgency; cash; budget; approved vendor</x:v>
      </x:c>
      <x:c r="G61" s="50" t="str">
        <x:v>Proceed; seek owner; invoke emergency process; pause lawful work</x:v>
      </x:c>
      <x:c r="H61" s="50" t="str">
        <x:v>Delegated PM or owner</x:v>
      </x:c>
      <x:c r="I61" s="50" t="str">
        <x:v>Coordinator</x:v>
      </x:c>
      <x:c r="J61" s="50" t="str">
        <x:v>Authorized work without avoidable delay</x:v>
      </x:c>
      <x:c r="K61" s="50" t="str">
        <x:v>Emergency duties; funds; contractual cap</x:v>
      </x:c>
      <x:c r="L61" s="50" t="str">
        <x:v>Check permission and route exceptions automatically</x:v>
      </x:c>
      <x:c r="M61" s="50" t="str">
        <x:v>Mandate; reserve; severity</x:v>
      </x:c>
      <x:c r="N61" s="50" t="str">
        <x:v>How often approval is needed only because policy is vague?</x:v>
      </x:c>
      <x:c r="O61" s="50" t="str">
        <x:v>O06;O08;O09;O11</x:v>
      </x:c>
      <x:c r="P61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61" s="50" t="str">
        <x:v>Domain anchors support parts of the decision family. The decision taxonomy and automation hypotheses are original synthesis, not claims validated in full by each source.</x:v>
      </x:c>
      <x:c r="R61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61" s="2"/>
    </x:row>
    <x:row r="62" ht="125" customHeight="1">
      <x:c r="A62" s="50" t="str">
        <x:v>D056</x:v>
      </x:c>
      <x:c r="B62" s="50" t="str">
        <x:v>Reactive repairs and incidents</x:v>
      </x:c>
      <x:c r="C62" s="50" t="str">
        <x:v>All physical property</x:v>
      </x:c>
      <x:c r="D62" s="50" t="str">
        <x:v>Which provider or technician should do it?</x:v>
      </x:c>
      <x:c r="E62" s="50" t="str">
        <x:v>Approved work</x:v>
      </x:c>
      <x:c r="F62" s="50" t="str">
        <x:v>Skill; availability; location; price; reliability; license</x:v>
      </x:c>
      <x:c r="G62" s="50" t="str">
        <x:v>In-house; preferred vendor; backup; specialist</x:v>
      </x:c>
      <x:c r="H62" s="50" t="str">
        <x:v>Maintenance/PM within procurement policy</x:v>
      </x:c>
      <x:c r="I62" s="50" t="str">
        <x:v>Dispatcher</x:v>
      </x:c>
      <x:c r="J62" s="50" t="str">
        <x:v>Qualified timely attendance</x:v>
      </x:c>
      <x:c r="K62" s="50" t="str">
        <x:v>License; insurance; conflicts; access</x:v>
      </x:c>
      <x:c r="L62" s="50" t="str">
        <x:v>Optimize shortlist and dispatch under limits</x:v>
      </x:c>
      <x:c r="M62" s="50" t="str">
        <x:v>Vendor qualification; urgency; travel</x:v>
      </x:c>
      <x:c r="N62" s="50" t="str">
        <x:v>Is vendor capacity actually confirmed or assumed?</x:v>
      </x:c>
      <x:c r="O62" s="50" t="str">
        <x:v>O06;O08;O09;O11</x:v>
      </x:c>
      <x:c r="P62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62" s="50" t="str">
        <x:v>Domain anchors support parts of the decision family. The decision taxonomy and automation hypotheses are original synthesis, not claims validated in full by each source.</x:v>
      </x:c>
      <x:c r="R62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62" s="2"/>
    </x:row>
    <x:row r="63" ht="125" customHeight="1">
      <x:c r="A63" s="50" t="str">
        <x:v>D057</x:v>
      </x:c>
      <x:c r="B63" s="50" t="str">
        <x:v>Reactive repairs and incidents</x:v>
      </x:c>
      <x:c r="C63" s="50" t="str">
        <x:v>All physical property</x:v>
      </x:c>
      <x:c r="D63" s="50" t="str">
        <x:v>When can the job be performed and access obtained?</x:v>
      </x:c>
      <x:c r="E63" s="50" t="str">
        <x:v>Provider selected</x:v>
      </x:c>
      <x:c r="F63" s="50" t="str">
        <x:v>Occupant availability; notice; keys; parts; service window</x:v>
      </x:c>
      <x:c r="G63" s="50" t="str">
        <x:v>Schedule; batch; reschedule; emergency access</x:v>
      </x:c>
      <x:c r="H63" s="50" t="str">
        <x:v>PM under entry policy</x:v>
      </x:c>
      <x:c r="I63" s="50" t="str">
        <x:v>Coordinator; resident; vendor</x:v>
      </x:c>
      <x:c r="J63" s="50" t="str">
        <x:v>First visit can actually complete work</x:v>
      </x:c>
      <x:c r="K63" s="50" t="str">
        <x:v>Entry law; consent; privacy; safety</x:v>
      </x:c>
      <x:c r="L63" s="50" t="str">
        <x:v>Coordinate calendars and reminders; notice tracking</x:v>
      </x:c>
      <x:c r="M63" s="50" t="str">
        <x:v>Parts; credentials; tenant needs</x:v>
      </x:c>
      <x:c r="N63" s="50" t="str">
        <x:v>Which party typically causes scheduling delay?</x:v>
      </x:c>
      <x:c r="O63" s="50" t="str">
        <x:v>O06;O08;O09;O11</x:v>
      </x:c>
      <x:c r="P63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63" s="50" t="str">
        <x:v>Domain anchors support parts of the decision family. The decision taxonomy and automation hypotheses are original synthesis, not claims validated in full by each source.</x:v>
      </x:c>
      <x:c r="R63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63" s="2"/>
    </x:row>
    <x:row r="64" ht="125" customHeight="1">
      <x:c r="A64" s="50" t="str">
        <x:v>D058</x:v>
      </x:c>
      <x:c r="B64" s="50" t="str">
        <x:v>Reactive repairs and incidents</x:v>
      </x:c>
      <x:c r="C64" s="50" t="str">
        <x:v>All physical property</x:v>
      </x:c>
      <x:c r="D64" s="50" t="str">
        <x:v>What if the vendor; resident; part; or approval does not arrive?</x:v>
      </x:c>
      <x:c r="E64" s="50" t="str">
        <x:v>Missed milestone or no response</x:v>
      </x:c>
      <x:c r="F64" s="50" t="str">
        <x:v>Last commitment; urgency; alternate availability</x:v>
      </x:c>
      <x:c r="G64" s="50" t="str">
        <x:v>Chase; reassign; reschedule; escalate; temporary mitigation</x:v>
      </x:c>
      <x:c r="H64" s="50" t="str">
        <x:v>PM/maintenance lead</x:v>
      </x:c>
      <x:c r="I64" s="50" t="str">
        <x:v>Coordinator</x:v>
      </x:c>
      <x:c r="J64" s="50" t="str">
        <x:v>Stalled work regains a feasible next step</x:v>
      </x:c>
      <x:c r="K64" s="50" t="str">
        <x:v>Service deadlines; additional cost; access limits</x:v>
      </x:c>
      <x:c r="L64" s="50" t="str">
        <x:v>Detect missed commitments and pursue bounded alternatives</x:v>
      </x:c>
      <x:c r="M64" s="50" t="str">
        <x:v>Dispatch; procurement; authority</x:v>
      </x:c>
      <x:c r="N64" s="50" t="str">
        <x:v>How much staff time is spent only chasing?</x:v>
      </x:c>
      <x:c r="O64" s="50" t="str">
        <x:v>O06;O08;O09;O11</x:v>
      </x:c>
      <x:c r="P64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64" s="50" t="str">
        <x:v>Domain anchors support parts of the decision family. The decision taxonomy and automation hypotheses are original synthesis, not claims validated in full by each source.</x:v>
      </x:c>
      <x:c r="R64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64" s="2"/>
    </x:row>
    <x:row r="65" ht="125" customHeight="1">
      <x:c r="A65" s="50" t="str">
        <x:v>D059</x:v>
      </x:c>
      <x:c r="B65" s="50" t="str">
        <x:v>Reactive repairs and incidents</x:v>
      </x:c>
      <x:c r="C65" s="50" t="str">
        <x:v>All physical property</x:v>
      </x:c>
      <x:c r="D65" s="50" t="str">
        <x:v>Is a change in scope justified?</x:v>
      </x:c>
      <x:c r="E65" s="50" t="str">
        <x:v>Hidden damage or additional work request</x:v>
      </x:c>
      <x:c r="F65" s="50" t="str">
        <x:v>Original scope; site findings; estimate; urgency</x:v>
      </x:c>
      <x:c r="G65" s="50" t="str">
        <x:v>Approve; partial approve; second opinion; new quote</x:v>
      </x:c>
      <x:c r="H65" s="50" t="str">
        <x:v>PM within limits; owner beyond</x:v>
      </x:c>
      <x:c r="I65" s="50" t="str">
        <x:v>Trade and coordinator</x:v>
      </x:c>
      <x:c r="J65" s="50" t="str">
        <x:v>Necessary change with controlled cost</x:v>
      </x:c>
      <x:c r="K65" s="50" t="str">
        <x:v>No invented authorization; habitability; permits</x:v>
      </x:c>
      <x:c r="L65" s="50" t="str">
        <x:v>Compare original and proposed scope; seek precise approval</x:v>
      </x:c>
      <x:c r="M65" s="50" t="str">
        <x:v>Budget; diagnosis; contract</x:v>
      </x:c>
      <x:c r="N65" s="50" t="str">
        <x:v>Are change orders separately authorized before work?</x:v>
      </x:c>
      <x:c r="O65" s="50" t="str">
        <x:v>O06;O08;O09;O11</x:v>
      </x:c>
      <x:c r="P65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65" s="50" t="str">
        <x:v>Domain anchors support parts of the decision family. The decision taxonomy and automation hypotheses are original synthesis, not claims validated in full by each source.</x:v>
      </x:c>
      <x:c r="R65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65" s="2"/>
    </x:row>
    <x:row r="66" ht="125" customHeight="1">
      <x:c r="A66" s="50" t="str">
        <x:v>D060</x:v>
      </x:c>
      <x:c r="B66" s="50" t="str">
        <x:v>Reactive repairs and incidents</x:v>
      </x:c>
      <x:c r="C66" s="50" t="str">
        <x:v>All physical property</x:v>
      </x:c>
      <x:c r="D66" s="50" t="str">
        <x:v>Is the problem actually resolved?</x:v>
      </x:c>
      <x:c r="E66" s="50" t="str">
        <x:v>Vendor marks complete</x:v>
      </x:c>
      <x:c r="F66" s="50" t="str">
        <x:v>Work performed; photos; tests; occupant response; recurrence</x:v>
      </x:c>
      <x:c r="G66" s="50" t="str">
        <x:v>Accept; verify; reopen; callback; specialist</x:v>
      </x:c>
      <x:c r="H66" s="50" t="str">
        <x:v>Maintenance lead/PM</x:v>
      </x:c>
      <x:c r="I66" s="50" t="str">
        <x:v>Technician; site staff; occupant</x:v>
      </x:c>
      <x:c r="J66" s="50" t="str">
        <x:v>Restored function and accurate status</x:v>
      </x:c>
      <x:c r="K66" s="50" t="str">
        <x:v>Inspection competence; no forced resident sign-off</x:v>
      </x:c>
      <x:c r="L66" s="50" t="str">
        <x:v>Request proof of function and spot-check; detect recurrent issue</x:v>
      </x:c>
      <x:c r="M66" s="50" t="str">
        <x:v>Original symptom; completion claim</x:v>
      </x:c>
      <x:c r="N66" s="50" t="str">
        <x:v>How many closed jobs recur within 30 days?</x:v>
      </x:c>
      <x:c r="O66" s="50" t="str">
        <x:v>O06;O08;O09;O11</x:v>
      </x:c>
      <x:c r="P66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66" s="50" t="str">
        <x:v>Domain anchors support parts of the decision family. The decision taxonomy and automation hypotheses are original synthesis, not claims validated in full by each source.</x:v>
      </x:c>
      <x:c r="R66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66" s="2"/>
    </x:row>
    <x:row r="67" ht="125" customHeight="1">
      <x:c r="A67" s="50" t="str">
        <x:v>D061</x:v>
      </x:c>
      <x:c r="B67" s="50" t="str">
        <x:v>Reactive repairs and incidents</x:v>
      </x:c>
      <x:c r="C67" s="50" t="str">
        <x:v>All physical property</x:v>
      </x:c>
      <x:c r="D67" s="50" t="str">
        <x:v>Is the invoice correct and who pays?</x:v>
      </x:c>
      <x:c r="E67" s="50" t="str">
        <x:v>Invoice received</x:v>
      </x:c>
      <x:c r="F67" s="50" t="str">
        <x:v>Authorized scope; completion; rates; credits; duplicates; allocation</x:v>
      </x:c>
      <x:c r="G67" s="50" t="str">
        <x:v>Approve; dispute; partial pay; correct allocation</x:v>
      </x:c>
      <x:c r="H67" s="50" t="str">
        <x:v>Approver separate from payment role where feasible</x:v>
      </x:c>
      <x:c r="I67" s="50" t="str">
        <x:v>AP and PM</x:v>
      </x:c>
      <x:c r="J67" s="50" t="str">
        <x:v>Pay once for authorized delivered work</x:v>
      </x:c>
      <x:c r="K67" s="50" t="str">
        <x:v>Segregation; lien rights; contract; client funds</x:v>
      </x:c>
      <x:c r="L67" s="50" t="str">
        <x:v>Three-way matching; anomaly queue; payment authorization separate</x:v>
      </x:c>
      <x:c r="M67" s="50" t="str">
        <x:v>Completion; purchase order; bank details</x:v>
      </x:c>
      <x:c r="N67" s="50" t="str">
        <x:v>Can an invoice be matched to an actual resolved problem?</x:v>
      </x:c>
      <x:c r="O67" s="50" t="str">
        <x:v>O06;O08;O09;O11</x:v>
      </x:c>
      <x:c r="P67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</x:v>
      </x:c>
      <x:c r="Q67" s="50" t="str">
        <x:v>Domain anchors support parts of the decision family. The decision taxonomy and automation hypotheses are original synthesis, not claims validated in full by each source.</x:v>
      </x:c>
      <x:c r="R67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</x:v>
      </x:c>
      <x:c r="S67" s="2"/>
    </x:row>
    <x:row r="68" ht="164" customHeight="1">
      <x:c r="A68" s="50" t="str">
        <x:v>D062</x:v>
      </x:c>
      <x:c r="B68" s="50" t="str">
        <x:v>Preventive work; capital; energy</x:v>
      </x:c>
      <x:c r="C68" s="50" t="str">
        <x:v>All; scale varies</x:v>
      </x:c>
      <x:c r="D68" s="50" t="str">
        <x:v>Which inspections and servicing are due?</x:v>
      </x:c>
      <x:c r="E68" s="50" t="str">
        <x:v>Calendar; usage; warranty; code</x:v>
      </x:c>
      <x:c r="F68" s="50" t="str">
        <x:v>Equipment; history; manufacturer; jurisdiction; program</x:v>
      </x:c>
      <x:c r="G68" s="50" t="str">
        <x:v>Inspect; service; test; defer only if allowed</x:v>
      </x:c>
      <x:c r="H68" s="50" t="str">
        <x:v>Technical/PM lead</x:v>
      </x:c>
      <x:c r="I68" s="50" t="str">
        <x:v>Qualified staff or inspector</x:v>
      </x:c>
      <x:c r="J68" s="50" t="str">
        <x:v>Reliable safe assets and completed obligations</x:v>
      </x:c>
      <x:c r="K68" s="50" t="str">
        <x:v>Required frequency; qualified person; record retention</x:v>
      </x:c>
      <x:c r="L68" s="50" t="str">
        <x:v>Schedule and chase; field certification stays with competent actor</x:v>
      </x:c>
      <x:c r="M68" s="50" t="str">
        <x:v>Asset inventory; access; vendor availability</x:v>
      </x:c>
      <x:c r="N68" s="50" t="str">
        <x:v>Are obligations tied to equipment or generic reminders?</x:v>
      </x:c>
      <x:c r="O68" s="50" t="str">
        <x:v>O06;O08;O09;O11;O12</x:v>
      </x:c>
      <x:c r="P68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
https://www.rics.org/content/dam/ricsglobal/documents/standards/Service-Charges-in-Commercial-Property-2nd-edition.pdf</x:v>
      </x:c>
      <x:c r="Q68" s="50" t="str">
        <x:v>Domain anchors support parts of the decision family. The decision taxonomy and automation hypotheses are original synthesis, not claims validated in full by each source.</x:v>
      </x:c>
      <x:c r="R68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
O12: UK professional standard; not US law; revised effective-date transition explained on RICS standard page</x:v>
      </x:c>
      <x:c r="S68" s="2"/>
    </x:row>
    <x:row r="69" ht="164" customHeight="1">
      <x:c r="A69" s="50" t="str">
        <x:v>D063</x:v>
      </x:c>
      <x:c r="B69" s="50" t="str">
        <x:v>Preventive work; capital; energy</x:v>
      </x:c>
      <x:c r="C69" s="50" t="str">
        <x:v>All; scale varies</x:v>
      </x:c>
      <x:c r="D69" s="50" t="str">
        <x:v>What does an inspection finding require?</x:v>
      </x:c>
      <x:c r="E69" s="50" t="str">
        <x:v>Inspection or monitoring result</x:v>
      </x:c>
      <x:c r="F69" s="50" t="str">
        <x:v>Severity; cause; recurrence; code; cost</x:v>
      </x:c>
      <x:c r="G69" s="50" t="str">
        <x:v>Emergency remedy; repair; monitor; capital referral</x:v>
      </x:c>
      <x:c r="H69" s="50" t="str">
        <x:v>PM and qualified specialist</x:v>
      </x:c>
      <x:c r="I69" s="50" t="str">
        <x:v>Maintenance or contractor</x:v>
      </x:c>
      <x:c r="J69" s="50" t="str">
        <x:v>Finding becomes completed corrective action</x:v>
      </x:c>
      <x:c r="K69" s="50" t="str">
        <x:v>Deadlines; safety; inspector authority</x:v>
      </x:c>
      <x:c r="L69" s="50" t="str">
        <x:v>Translate findings to tracked work with dependencies</x:v>
      </x:c>
      <x:c r="M69" s="50" t="str">
        <x:v>Reactive work; budget; agency response</x:v>
      </x:c>
      <x:c r="N69" s="50" t="str">
        <x:v>Does a report produce work or remain a PDF?</x:v>
      </x:c>
      <x:c r="O69" s="50" t="str">
        <x:v>O06;O08;O09;O11;O12</x:v>
      </x:c>
      <x:c r="P69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
https://www.rics.org/content/dam/ricsglobal/documents/standards/Service-Charges-in-Commercial-Property-2nd-edition.pdf</x:v>
      </x:c>
      <x:c r="Q69" s="50" t="str">
        <x:v>Domain anchors support parts of the decision family. The decision taxonomy and automation hypotheses are original synthesis, not claims validated in full by each source.</x:v>
      </x:c>
      <x:c r="R69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
O12: UK professional standard; not US law; revised effective-date transition explained on RICS standard page</x:v>
      </x:c>
      <x:c r="S69" s="2"/>
    </x:row>
    <x:row r="70" ht="164" customHeight="1">
      <x:c r="A70" s="50" t="str">
        <x:v>D064</x:v>
      </x:c>
      <x:c r="B70" s="50" t="str">
        <x:v>Preventive work; capital; energy</x:v>
      </x:c>
      <x:c r="C70" s="50" t="str">
        <x:v>All; scale varies</x:v>
      </x:c>
      <x:c r="D70" s="50" t="str">
        <x:v>Which replacement and renewal projects should be funded?</x:v>
      </x:c>
      <x:c r="E70" s="50" t="str">
        <x:v>Budget cycle or failure trend</x:v>
      </x:c>
      <x:c r="F70" s="50" t="str">
        <x:v>Condition; life; failure cost; energy; downtime; reserves</x:v>
      </x:c>
      <x:c r="G70" s="50" t="str">
        <x:v>Replace now; stage; rehabilitate; defer; redesign</x:v>
      </x:c>
      <x:c r="H70" s="50" t="str">
        <x:v>Owner/board or asset manager</x:v>
      </x:c>
      <x:c r="I70" s="50" t="str">
        <x:v>PM and capital team</x:v>
      </x:c>
      <x:c r="J70" s="50" t="str">
        <x:v>Best feasible lifecycle outcome</x:v>
      </x:c>
      <x:c r="K70" s="50" t="str">
        <x:v>Minimum safety; financing; resident disruption</x:v>
      </x:c>
      <x:c r="L70" s="50" t="str">
        <x:v>Scenario analysis; explicitly uncertain useful lives</x:v>
      </x:c>
      <x:c r="M70" s="50" t="str">
        <x:v>Inspections; cash; owner hold period</x:v>
      </x:c>
      <x:c r="N70" s="50" t="str">
        <x:v>Are capital decisions based on actual condition?</x:v>
      </x:c>
      <x:c r="O70" s="50" t="str">
        <x:v>O06;O08;O09;O11;O12</x:v>
      </x:c>
      <x:c r="P70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
https://www.rics.org/content/dam/ricsglobal/documents/standards/Service-Charges-in-Commercial-Property-2nd-edition.pdf</x:v>
      </x:c>
      <x:c r="Q70" s="50" t="str">
        <x:v>Domain anchors support parts of the decision family. The decision taxonomy and automation hypotheses are original synthesis, not claims validated in full by each source.</x:v>
      </x:c>
      <x:c r="R70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
O12: UK professional standard; not US law; revised effective-date transition explained on RICS standard page</x:v>
      </x:c>
      <x:c r="S70" s="2"/>
    </x:row>
    <x:row r="71" ht="164" customHeight="1">
      <x:c r="A71" s="50" t="str">
        <x:v>D065</x:v>
      </x:c>
      <x:c r="B71" s="50" t="str">
        <x:v>Preventive work; capital; energy</x:v>
      </x:c>
      <x:c r="C71" s="50" t="str">
        <x:v>All; scale varies</x:v>
      </x:c>
      <x:c r="D71" s="50" t="str">
        <x:v>How should a capital project be scoped and procured?</x:v>
      </x:c>
      <x:c r="E71" s="50" t="str">
        <x:v>Approved business case</x:v>
      </x:c>
      <x:c r="F71" s="50" t="str">
        <x:v>Functional need; designs; quantities; permits; bids</x:v>
      </x:c>
      <x:c r="G71" s="50" t="str">
        <x:v>Design alternatives; competitive bid; negotiated; phased</x:v>
      </x:c>
      <x:c r="H71" s="50" t="str">
        <x:v>Owner/board; PM delegated</x:v>
      </x:c>
      <x:c r="I71" s="50" t="str">
        <x:v>Project manager; engineer; procurement</x:v>
      </x:c>
      <x:c r="J71" s="50" t="str">
        <x:v>Comparable scope and credible contractor commitment</x:v>
      </x:c>
      <x:c r="K71" s="50" t="str">
        <x:v>Permit; license; procurement; conflicts</x:v>
      </x:c>
      <x:c r="L71" s="50" t="str">
        <x:v>Compare bids on same inclusions; identify omissions</x:v>
      </x:c>
      <x:c r="M71" s="50" t="str">
        <x:v>Budget; engineer design; tenant impacts</x:v>
      </x:c>
      <x:c r="N71" s="50" t="str">
        <x:v>Are cheap bids simply excluding essential work?</x:v>
      </x:c>
      <x:c r="O71" s="50" t="str">
        <x:v>O06;O08;O09;O11;O12</x:v>
      </x:c>
      <x:c r="P71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
https://www.rics.org/content/dam/ricsglobal/documents/standards/Service-Charges-in-Commercial-Property-2nd-edition.pdf</x:v>
      </x:c>
      <x:c r="Q71" s="50" t="str">
        <x:v>Domain anchors support parts of the decision family. The decision taxonomy and automation hypotheses are original synthesis, not claims validated in full by each source.</x:v>
      </x:c>
      <x:c r="R71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
O12: UK professional standard; not US law; revised effective-date transition explained on RICS standard page</x:v>
      </x:c>
      <x:c r="S71" s="2"/>
    </x:row>
    <x:row r="72" ht="164" customHeight="1">
      <x:c r="A72" s="50" t="str">
        <x:v>D066</x:v>
      </x:c>
      <x:c r="B72" s="50" t="str">
        <x:v>Preventive work; capital; energy</x:v>
      </x:c>
      <x:c r="C72" s="50" t="str">
        <x:v>All; scale varies</x:v>
      </x:c>
      <x:c r="D72" s="50" t="str">
        <x:v>Should a project payment or milestone be accepted?</x:v>
      </x:c>
      <x:c r="E72" s="50" t="str">
        <x:v>Claimed completion or draw</x:v>
      </x:c>
      <x:c r="F72" s="50" t="str">
        <x:v>Contract; inspection; delivered quantity; changes; lien documents</x:v>
      </x:c>
      <x:c r="G72" s="50" t="str">
        <x:v>Approve; hold; correct; partial release</x:v>
      </x:c>
      <x:c r="H72" s="50" t="str">
        <x:v>Owner/delegated PM; lender where applicable</x:v>
      </x:c>
      <x:c r="I72" s="50" t="str">
        <x:v>Project manager and finance</x:v>
      </x:c>
      <x:c r="J72" s="50" t="str">
        <x:v>Payment follows verified progress</x:v>
      </x:c>
      <x:c r="K72" s="50" t="str">
        <x:v>Lien law; lender control; safety; retainage</x:v>
      </x:c>
      <x:c r="L72" s="50" t="str">
        <x:v>Compare documentation and flag mismatch; qualified inspection</x:v>
      </x:c>
      <x:c r="M72" s="50" t="str">
        <x:v>Scope changes; funding; field progress</x:v>
      </x:c>
      <x:c r="N72" s="50" t="str">
        <x:v>Who validates physical completion independently?</x:v>
      </x:c>
      <x:c r="O72" s="50" t="str">
        <x:v>O06;O08;O09;O11;O12</x:v>
      </x:c>
      <x:c r="P72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
https://www.rics.org/content/dam/ricsglobal/documents/standards/Service-Charges-in-Commercial-Property-2nd-edition.pdf</x:v>
      </x:c>
      <x:c r="Q72" s="50" t="str">
        <x:v>Domain anchors support parts of the decision family. The decision taxonomy and automation hypotheses are original synthesis, not claims validated in full by each source.</x:v>
      </x:c>
      <x:c r="R72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
O12: UK professional standard; not US law; revised effective-date transition explained on RICS standard page</x:v>
      </x:c>
      <x:c r="S72" s="2"/>
    </x:row>
    <x:row r="73" ht="164" customHeight="1">
      <x:c r="A73" s="50" t="str">
        <x:v>D067</x:v>
      </x:c>
      <x:c r="B73" s="50" t="str">
        <x:v>Preventive work; capital; energy</x:v>
      </x:c>
      <x:c r="C73" s="50" t="str">
        <x:v>All; scale varies</x:v>
      </x:c>
      <x:c r="D73" s="50" t="str">
        <x:v>What energy; water; or building-control change is worthwhile?</x:v>
      </x:c>
      <x:c r="E73" s="50" t="str">
        <x:v>Anomaly; tariff; upgrade opportunity</x:v>
      </x:c>
      <x:c r="F73" s="50" t="str">
        <x:v>Usage; weather; occupancy; system constraints; tariff; incentives</x:v>
      </x:c>
      <x:c r="G73" s="50" t="str">
        <x:v>Repair leak; tune schedule; retrofit; procure; observe</x:v>
      </x:c>
      <x:c r="H73" s="50" t="str">
        <x:v>Owner/PM and qualified engineer</x:v>
      </x:c>
      <x:c r="I73" s="50" t="str">
        <x:v>Engineer; utility; contractor</x:v>
      </x:c>
      <x:c r="J73" s="50" t="str">
        <x:v>Lower waste at maintained service quality</x:v>
      </x:c>
      <x:c r="K73" s="50" t="str">
        <x:v>Comfort; equipment safety; resident billing; cyber access</x:v>
      </x:c>
      <x:c r="L73" s="50" t="str">
        <x:v>Detect anomalies and simulate; bounded control only after validation</x:v>
      </x:c>
      <x:c r="M73" s="50" t="str">
        <x:v>Meter data; maintenance; occupancy</x:v>
      </x:c>
      <x:c r="N73" s="50" t="str">
        <x:v>Who benefits if tenant pays utilities and owner pays capex?</x:v>
      </x:c>
      <x:c r="O73" s="50" t="str">
        <x:v>O06;O08;O09;O11;O12</x:v>
      </x:c>
      <x:c r="P73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
https://www.rics.org/content/dam/ricsglobal/documents/standards/Service-Charges-in-Commercial-Property-2nd-edition.pdf</x:v>
      </x:c>
      <x:c r="Q73" s="50" t="str">
        <x:v>Domain anchors support parts of the decision family. The decision taxonomy and automation hypotheses are original synthesis, not claims validated in full by each source.</x:v>
      </x:c>
      <x:c r="R73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
O12: UK professional standard; not US law; revised effective-date transition explained on RICS standard page</x:v>
      </x:c>
      <x:c r="S73" s="2"/>
    </x:row>
    <x:row r="74" ht="164" customHeight="1">
      <x:c r="A74" s="50" t="str">
        <x:v>D068</x:v>
      </x:c>
      <x:c r="B74" s="50" t="str">
        <x:v>Preventive work; capital; energy</x:v>
      </x:c>
      <x:c r="C74" s="50" t="str">
        <x:v>All; scale varies</x:v>
      </x:c>
      <x:c r="D74" s="50" t="str">
        <x:v>What seasonal or disaster preparation is needed?</x:v>
      </x:c>
      <x:c r="E74" s="50" t="str">
        <x:v>Weather alert or seasonal plan</x:v>
      </x:c>
      <x:c r="F74" s="50" t="str">
        <x:v>Exposure; equipment; vulnerable systems; staff; supplies</x:v>
      </x:c>
      <x:c r="G74" s="50" t="str">
        <x:v>Protect; inspect; stage contractors; notify; close unsafe areas</x:v>
      </x:c>
      <x:c r="H74" s="50" t="str">
        <x:v>PM/emergency lead</x:v>
      </x:c>
      <x:c r="I74" s="50" t="str">
        <x:v>Site team and vendors</x:v>
      </x:c>
      <x:c r="J74" s="50" t="str">
        <x:v>Reduced disruption and faster restoration</x:v>
      </x:c>
      <x:c r="K74" s="50" t="str">
        <x:v>Life safety; authority; forecast uncertainty</x:v>
      </x:c>
      <x:c r="L74" s="50" t="str">
        <x:v>Trigger property-specific preparations and check completion</x:v>
      </x:c>
      <x:c r="M74" s="50" t="str">
        <x:v>Emergency plan; contractor capacity; inventory</x:v>
      </x:c>
      <x:c r="N74" s="50" t="str">
        <x:v>What failed during the last comparable event?</x:v>
      </x:c>
      <x:c r="O74" s="50" t="str">
        <x:v>O06;O08;O09;O11;O12</x:v>
      </x:c>
      <x:c r="P74" s="50" t="str">
        <x:v>https://www.energy.gov/cmei/femp/operations-and-maintenance-challenges-and-solutions
https://www.nyc.gov/site/hpd/services-and-information/heat-and-hot-water-information.page
https://www.osha.gov/laws-regs/regulations/standardnumber/1910/1910.147
https://www.cslb.ca.gov/Consumers/Hire_A_Contractor/
https://www.rics.org/content/dam/ricsglobal/documents/standards/Service-Charges-in-Commercial-Property-2nd-edition.pdf</x:v>
      </x:c>
      <x:c r="Q74" s="50" t="str">
        <x:v>Domain anchors support parts of the decision family. The decision taxonomy and automation hypotheses are original synthesis, not claims validated in full by each source.</x:v>
      </x:c>
      <x:c r="R74" s="50" t="str">
        <x:v>O06: Federal-facility guidance is an analogue; no claimed rental-property savings rate
O08: Representative local rule; no generalization to other places
O09: Scope/exceptions depend on work and employer; not a general property-management manual
O11: California-specific; performance optimization in inventory is an original hypothesis
O12: UK professional standard; not US law; revised effective-date transition explained on RICS standard page</x:v>
      </x:c>
      <x:c r="S74" s="2"/>
    </x:row>
    <x:row r="75" ht="86" customHeight="1">
      <x:c r="A75" s="50" t="str">
        <x:v>D069</x:v>
      </x:c>
      <x:c r="B75" s="50" t="str">
        <x:v>Procurement and vendor relationships</x:v>
      </x:c>
      <x:c r="C75" s="50" t="str">
        <x:v>All</x:v>
      </x:c>
      <x:c r="D75" s="50" t="str">
        <x:v>Which vendor may join the roster?</x:v>
      </x:c>
      <x:c r="E75" s="50" t="str">
        <x:v>New vendor or service need</x:v>
      </x:c>
      <x:c r="F75" s="50" t="str">
        <x:v>License; insurance; references; coverage; rates; tax details</x:v>
      </x:c>
      <x:c r="G75" s="50" t="str">
        <x:v>Approve; conditional; reject; specialist review</x:v>
      </x:c>
      <x:c r="H75" s="50" t="str">
        <x:v>Procurement/PM under policy</x:v>
      </x:c>
      <x:c r="I75" s="50" t="str">
        <x:v>Vendor administrator</x:v>
      </x:c>
      <x:c r="J75" s="50" t="str">
        <x:v>Qualified usable supply</x:v>
      </x:c>
      <x:c r="K75" s="50" t="str">
        <x:v>Trade licensing; fraud; conflicts; insurance scope</x:v>
      </x:c>
      <x:c r="L75" s="50" t="str">
        <x:v>Verify documents and expiration; independent bank validation</x:v>
      </x:c>
      <x:c r="M75" s="50" t="str">
        <x:v>Needed trade; service geography</x:v>
      </x:c>
      <x:c r="N75" s="50" t="str">
        <x:v>Does qualification predict delivered performance?</x:v>
      </x:c>
      <x:c r="O75" s="50" t="str">
        <x:v>O01;O11</x:v>
      </x:c>
      <x:c r="P75" s="50" t="str">
        <x:v>https://www.dre.ca.gov/files/pdf/refbook/ref22.pdf
https://www.cslb.ca.gov/Consumers/Hire_A_Contractor/</x:v>
      </x:c>
      <x:c r="Q75" s="50" t="str">
        <x:v>Domain anchors support parts of the decision family. The decision taxonomy and automation hypotheses are original synthesis, not claims validated in full by each source.</x:v>
      </x:c>
      <x:c r="R75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75" s="2"/>
    </x:row>
    <x:row r="76" ht="86" customHeight="1">
      <x:c r="A76" s="50" t="str">
        <x:v>D070</x:v>
      </x:c>
      <x:c r="B76" s="50" t="str">
        <x:v>Procurement and vendor relationships</x:v>
      </x:c>
      <x:c r="C76" s="50" t="str">
        <x:v>All</x:v>
      </x:c>
      <x:c r="D76" s="50" t="str">
        <x:v>Renew; renegotiate; or replace a service contract?</x:v>
      </x:c>
      <x:c r="E76" s="50" t="str">
        <x:v>Expiry; price increase; poor service</x:v>
      </x:c>
      <x:c r="F76" s="50" t="str">
        <x:v>Actual performance; alternatives; notice date; switching cost</x:v>
      </x:c>
      <x:c r="G76" s="50" t="str">
        <x:v>Renew; amend; rebid; insource; terminate</x:v>
      </x:c>
      <x:c r="H76" s="50" t="str">
        <x:v>PM/owner under contract limits</x:v>
      </x:c>
      <x:c r="I76" s="50" t="str">
        <x:v>Procurement</x:v>
      </x:c>
      <x:c r="J76" s="50" t="str">
        <x:v>Appropriate service and total cost</x:v>
      </x:c>
      <x:c r="K76" s="50" t="str">
        <x:v>Continuity; termination; assignment; procurement rules</x:v>
      </x:c>
      <x:c r="L76" s="50" t="str">
        <x:v>Track expiries and compare scope-adjusted alternatives</x:v>
      </x:c>
      <x:c r="M76" s="50" t="str">
        <x:v>Budget; vendor capacity; resident impact</x:v>
      </x:c>
      <x:c r="N76" s="50" t="str">
        <x:v>Is notice missed before alternative bids arrive?</x:v>
      </x:c>
      <x:c r="O76" s="50" t="str">
        <x:v>O01;O11</x:v>
      </x:c>
      <x:c r="P76" s="50" t="str">
        <x:v>https://www.dre.ca.gov/files/pdf/refbook/ref22.pdf
https://www.cslb.ca.gov/Consumers/Hire_A_Contractor/</x:v>
      </x:c>
      <x:c r="Q76" s="50" t="str">
        <x:v>Domain anchors support parts of the decision family. The decision taxonomy and automation hypotheses are original synthesis, not claims validated in full by each source.</x:v>
      </x:c>
      <x:c r="R76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76" s="2"/>
    </x:row>
    <x:row r="77" ht="86" customHeight="1">
      <x:c r="A77" s="50" t="str">
        <x:v>D071</x:v>
      </x:c>
      <x:c r="B77" s="50" t="str">
        <x:v>Procurement and vendor relationships</x:v>
      </x:c>
      <x:c r="C77" s="50" t="str">
        <x:v>All</x:v>
      </x:c>
      <x:c r="D77" s="50" t="str">
        <x:v>How should recurring services be scheduled and checked?</x:v>
      </x:c>
      <x:c r="E77" s="50" t="str">
        <x:v>Routine cleaning; grounds; security; waste</x:v>
      </x:c>
      <x:c r="F77" s="50" t="str">
        <x:v>Service level; site condition; usage; calendar</x:v>
      </x:c>
      <x:c r="G77" s="50" t="str">
        <x:v>Fixed schedule; need-based; combined route; additional visit</x:v>
      </x:c>
      <x:c r="H77" s="50" t="str">
        <x:v>Site/PM lead</x:v>
      </x:c>
      <x:c r="I77" s="50" t="str">
        <x:v>Vendor or staff</x:v>
      </x:c>
      <x:c r="J77" s="50" t="str">
        <x:v>Useful delivered service</x:v>
      </x:c>
      <x:c r="K77" s="50" t="str">
        <x:v>Safety; contract; union; occupant hours</x:v>
      </x:c>
      <x:c r="L77" s="50" t="str">
        <x:v>Optimize routine schedule and collect completion checks</x:v>
      </x:c>
      <x:c r="M77" s="50" t="str">
        <x:v>Occupancy; weather; events</x:v>
      </x:c>
      <x:c r="N77" s="50" t="str">
        <x:v>Is service purchased by visits or by acceptable condition?</x:v>
      </x:c>
      <x:c r="O77" s="50" t="str">
        <x:v>O01;O11</x:v>
      </x:c>
      <x:c r="P77" s="50" t="str">
        <x:v>https://www.dre.ca.gov/files/pdf/refbook/ref22.pdf
https://www.cslb.ca.gov/Consumers/Hire_A_Contractor/</x:v>
      </x:c>
      <x:c r="Q77" s="50" t="str">
        <x:v>Domain anchors support parts of the decision family. The decision taxonomy and automation hypotheses are original synthesis, not claims validated in full by each source.</x:v>
      </x:c>
      <x:c r="R77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77" s="2"/>
    </x:row>
    <x:row r="78" ht="86" customHeight="1">
      <x:c r="A78" s="50" t="str">
        <x:v>D072</x:v>
      </x:c>
      <x:c r="B78" s="50" t="str">
        <x:v>Procurement and vendor relationships</x:v>
      </x:c>
      <x:c r="C78" s="50" t="str">
        <x:v>All</x:v>
      </x:c>
      <x:c r="D78" s="50" t="str">
        <x:v>Can vendor bank details or ownership change?</x:v>
      </x:c>
      <x:c r="E78" s="50" t="str">
        <x:v>Change request or fraud signal</x:v>
      </x:c>
      <x:c r="F78" s="50" t="str">
        <x:v>Independent callback; contract; prior data; authorized signer</x:v>
      </x:c>
      <x:c r="G78" s="50" t="str">
        <x:v>Verify; hold; reject; update</x:v>
      </x:c>
      <x:c r="H78" s="50" t="str">
        <x:v>Treasury authorized role</x:v>
      </x:c>
      <x:c r="I78" s="50" t="str">
        <x:v>AP administrator</x:v>
      </x:c>
      <x:c r="J78" s="50" t="str">
        <x:v>Correct payee receives funds</x:v>
      </x:c>
      <x:c r="K78" s="50" t="str">
        <x:v>Fraud prevention; segregation; data security</x:v>
      </x:c>
      <x:c r="L78" s="50" t="str">
        <x:v>Detect changes; require independent verification before update</x:v>
      </x:c>
      <x:c r="M78" s="50" t="str">
        <x:v>Payment run; vendor record</x:v>
      </x:c>
      <x:c r="N78" s="50" t="str">
        <x:v>Who can both alter payee and release cash?</x:v>
      </x:c>
      <x:c r="O78" s="50" t="str">
        <x:v>O01;O11</x:v>
      </x:c>
      <x:c r="P78" s="50" t="str">
        <x:v>https://www.dre.ca.gov/files/pdf/refbook/ref22.pdf
https://www.cslb.ca.gov/Consumers/Hire_A_Contractor/</x:v>
      </x:c>
      <x:c r="Q78" s="50" t="str">
        <x:v>Domain anchors support parts of the decision family. The decision taxonomy and automation hypotheses are original synthesis, not claims validated in full by each source.</x:v>
      </x:c>
      <x:c r="R78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78" s="2"/>
    </x:row>
    <x:row r="79" ht="86" customHeight="1">
      <x:c r="A79" s="50" t="str">
        <x:v>D073</x:v>
      </x:c>
      <x:c r="B79" s="50" t="str">
        <x:v>Procurement and vendor relationships</x:v>
      </x:c>
      <x:c r="C79" s="50" t="str">
        <x:v>All</x:v>
      </x:c>
      <x:c r="D79" s="50" t="str">
        <x:v>What should vendor performance change?</x:v>
      </x:c>
      <x:c r="E79" s="50" t="str">
        <x:v>Repeated callbacks; delay; invoice disputes</x:v>
      </x:c>
      <x:c r="F79" s="50" t="str">
        <x:v>Completion; cost; quality; response; verified cause</x:v>
      </x:c>
      <x:c r="G79" s="50" t="str">
        <x:v>Coach; probation; reduced allocation; remove; retain</x:v>
      </x:c>
      <x:c r="H79" s="50" t="str">
        <x:v>PM/procurement</x:v>
      </x:c>
      <x:c r="I79" s="50" t="str">
        <x:v>Vendor manager</x:v>
      </x:c>
      <x:c r="J79" s="50" t="str">
        <x:v>Reliable local execution</x:v>
      </x:c>
      <x:c r="K79" s="50" t="str">
        <x:v>Attribution; limited alternatives; emergency coverage</x:v>
      </x:c>
      <x:c r="L79" s="50" t="str">
        <x:v>Measure outcomes; recommend allocation within capacity</x:v>
      </x:c>
      <x:c r="M79" s="50" t="str">
        <x:v>Work completion; callback reason; alternatives</x:v>
      </x:c>
      <x:c r="N79" s="50" t="str">
        <x:v>Are ratings based on outcome or anecdote?</x:v>
      </x:c>
      <x:c r="O79" s="50" t="str">
        <x:v>O01;O11</x:v>
      </x:c>
      <x:c r="P79" s="50" t="str">
        <x:v>https://www.dre.ca.gov/files/pdf/refbook/ref22.pdf
https://www.cslb.ca.gov/Consumers/Hire_A_Contractor/</x:v>
      </x:c>
      <x:c r="Q79" s="50" t="str">
        <x:v>Domain anchors support parts of the decision family. The decision taxonomy and automation hypotheses are original synthesis, not claims validated in full by each source.</x:v>
      </x:c>
      <x:c r="R79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79" s="2"/>
    </x:row>
    <x:row r="80" ht="73" customHeight="1">
      <x:c r="A80" s="50" t="str">
        <x:v>D074</x:v>
      </x:c>
      <x:c r="B80" s="50" t="str">
        <x:v>Accounting; cash; reporting</x:v>
      </x:c>
      <x:c r="C80" s="50" t="str">
        <x:v>All; distinct client and management-company books</x:v>
      </x:c>
      <x:c r="D80" s="50" t="str">
        <x:v>How is a transaction coded and allocated?</x:v>
      </x:c>
      <x:c r="E80" s="50" t="str">
        <x:v>Invoice; receipt; adjustment</x:v>
      </x:c>
      <x:c r="F80" s="50" t="str">
        <x:v>Property; legal entity; purpose; lease; accounting basis</x:v>
      </x:c>
      <x:c r="G80" s="50" t="str">
        <x:v>Expense; capitalize; prepaid; receivable; split; suspense</x:v>
      </x:c>
      <x:c r="H80" s="50" t="str">
        <x:v>Controller/accounting policy</x:v>
      </x:c>
      <x:c r="I80" s="50" t="str">
        <x:v>Accountant</x:v>
      </x:c>
      <x:c r="J80" s="50" t="str">
        <x:v>Consistent accurate books</x:v>
      </x:c>
      <x:c r="K80" s="50" t="str">
        <x:v>Entity boundaries; accounting rules; cost recovery terms</x:v>
      </x:c>
      <x:c r="L80" s="50" t="str">
        <x:v>Suggest coding; deterministic approved rules; review ambiguity</x:v>
      </x:c>
      <x:c r="M80" s="50" t="str">
        <x:v>Contract; service completion; property identity</x:v>
      </x:c>
      <x:c r="N80" s="50" t="str">
        <x:v>Do allocation errors change tenant or owner payments?</x:v>
      </x:c>
      <x:c r="O80" s="50" t="str">
        <x:v>O02;O12</x:v>
      </x:c>
      <x:c r="P80" s="50" t="str">
        <x:v>https://www.dre.ca.gov/files/pdf/refbook/ref21.pdf
https://www.rics.org/content/dam/ricsglobal/documents/standards/Service-Charges-in-Commercial-Property-2nd-edition.pdf</x:v>
      </x:c>
      <x:c r="Q80" s="50" t="str">
        <x:v>Domain anchors support parts of the decision family. The decision taxonomy and automation hypotheses are original synthesis, not claims validated in full by each source.</x:v>
      </x:c>
      <x:c r="R80" s="50" t="str">
        <x:v>O02: California example; do not universalize timing or licensing details
O12: UK professional standard; not US law; revised effective-date transition explained on RICS standard page</x:v>
      </x:c>
      <x:c r="S80" s="2"/>
    </x:row>
    <x:row r="81" ht="73" customHeight="1">
      <x:c r="A81" s="50" t="str">
        <x:v>D075</x:v>
      </x:c>
      <x:c r="B81" s="50" t="str">
        <x:v>Accounting; cash; reporting</x:v>
      </x:c>
      <x:c r="C81" s="50" t="str">
        <x:v>All; distinct client and management-company books</x:v>
      </x:c>
      <x:c r="D81" s="50" t="str">
        <x:v>Which payments can be released now?</x:v>
      </x:c>
      <x:c r="E81" s="50" t="str">
        <x:v>Payment cycle</x:v>
      </x:c>
      <x:c r="F81" s="50" t="str">
        <x:v>Approved bills; due dates; cash by owner; holds; bank verification</x:v>
      </x:c>
      <x:c r="G81" s="50" t="str">
        <x:v>Pay; partial pay by agreement; defer; owner funding request</x:v>
      </x:c>
      <x:c r="H81" s="50" t="str">
        <x:v>Authorized signers</x:v>
      </x:c>
      <x:c r="I81" s="50" t="str">
        <x:v>Treasury</x:v>
      </x:c>
      <x:c r="J81" s="50" t="str">
        <x:v>Correct timely payments within available funds</x:v>
      </x:c>
      <x:c r="K81" s="50" t="str">
        <x:v>No commingling; restricted cash; fraud; authorization</x:v>
      </x:c>
      <x:c r="L81" s="50" t="str">
        <x:v>Prepare batch; release only within explicit mandates</x:v>
      </x:c>
      <x:c r="M81" s="50" t="str">
        <x:v>AP approval; reconciled cash; loan restrictions</x:v>
      </x:c>
      <x:c r="N81" s="50" t="str">
        <x:v>How much cash shown is genuinely spendable?</x:v>
      </x:c>
      <x:c r="O81" s="50" t="str">
        <x:v>O02;O12</x:v>
      </x:c>
      <x:c r="P81" s="50" t="str">
        <x:v>https://www.dre.ca.gov/files/pdf/refbook/ref21.pdf
https://www.rics.org/content/dam/ricsglobal/documents/standards/Service-Charges-in-Commercial-Property-2nd-edition.pdf</x:v>
      </x:c>
      <x:c r="Q81" s="50" t="str">
        <x:v>Domain anchors support parts of the decision family. The decision taxonomy and automation hypotheses are original synthesis, not claims validated in full by each source.</x:v>
      </x:c>
      <x:c r="R81" s="50" t="str">
        <x:v>O02: California example; do not universalize timing or licensing details
O12: UK professional standard; not US law; revised effective-date transition explained on RICS standard page</x:v>
      </x:c>
      <x:c r="S81" s="2"/>
    </x:row>
    <x:row r="82" ht="73" customHeight="1">
      <x:c r="A82" s="50" t="str">
        <x:v>D076</x:v>
      </x:c>
      <x:c r="B82" s="50" t="str">
        <x:v>Accounting; cash; reporting</x:v>
      </x:c>
      <x:c r="C82" s="50" t="str">
        <x:v>All; distinct client and management-company books</x:v>
      </x:c>
      <x:c r="D82" s="50" t="str">
        <x:v>Do bank; books; and beneficiary balances agree?</x:v>
      </x:c>
      <x:c r="E82" s="50" t="str">
        <x:v>Daily/monthly reconciliation</x:v>
      </x:c>
      <x:c r="F82" s="50" t="str">
        <x:v>Bank events; ledger; owner balances; deposits; in-transit items</x:v>
      </x:c>
      <x:c r="G82" s="50" t="str">
        <x:v>Match; correct with reason; investigate; hold distribution</x:v>
      </x:c>
      <x:c r="H82" s="50" t="str">
        <x:v>Controller; responsible broker where applicable</x:v>
      </x:c>
      <x:c r="I82" s="50" t="str">
        <x:v>Accountant</x:v>
      </x:c>
      <x:c r="J82" s="50" t="str">
        <x:v>No unexplained shortfall or misallocated money</x:v>
      </x:c>
      <x:c r="K82" s="50" t="str">
        <x:v>Client funds; documented reconciliation; independent review</x:v>
      </x:c>
      <x:c r="L82" s="50" t="str">
        <x:v>Automate matching; preserve exceptions and correction trail</x:v>
      </x:c>
      <x:c r="M82" s="50" t="str">
        <x:v>Payment returns; opening balances; transfers</x:v>
      </x:c>
      <x:c r="N82" s="50" t="str">
        <x:v>How old are unreconciled differences?</x:v>
      </x:c>
      <x:c r="O82" s="50" t="str">
        <x:v>O02;O12</x:v>
      </x:c>
      <x:c r="P82" s="50" t="str">
        <x:v>https://www.dre.ca.gov/files/pdf/refbook/ref21.pdf
https://www.rics.org/content/dam/ricsglobal/documents/standards/Service-Charges-in-Commercial-Property-2nd-edition.pdf</x:v>
      </x:c>
      <x:c r="Q82" s="50" t="str">
        <x:v>Domain anchors support parts of the decision family. The decision taxonomy and automation hypotheses are original synthesis, not claims validated in full by each source.</x:v>
      </x:c>
      <x:c r="R82" s="50" t="str">
        <x:v>O02: California example; do not universalize timing or licensing details
O12: UK professional standard; not US law; revised effective-date transition explained on RICS standard page</x:v>
      </x:c>
      <x:c r="S82" s="2"/>
    </x:row>
    <x:row r="83" ht="73" customHeight="1">
      <x:c r="A83" s="50" t="str">
        <x:v>D077</x:v>
      </x:c>
      <x:c r="B83" s="50" t="str">
        <x:v>Accounting; cash; reporting</x:v>
      </x:c>
      <x:c r="C83" s="50" t="str">
        <x:v>All; distinct client and management-company books</x:v>
      </x:c>
      <x:c r="D83" s="50" t="str">
        <x:v>What should an owner receive or contribute?</x:v>
      </x:c>
      <x:c r="E83" s="50" t="str">
        <x:v>Distribution date or shortfall</x:v>
      </x:c>
      <x:c r="F83" s="50" t="str">
        <x:v>Collected cash; reserves; upcoming obligations; agreement</x:v>
      </x:c>
      <x:c r="G83" s="50" t="str">
        <x:v>Distribute; retain; request capital; correct statement</x:v>
      </x:c>
      <x:c r="H83" s="50" t="str">
        <x:v>Owner policy and authorized finance</x:v>
      </x:c>
      <x:c r="I83" s="50" t="str">
        <x:v>Accounting and bank signer</x:v>
      </x:c>
      <x:c r="J83" s="50" t="str">
        <x:v>Funded operation and correct owner cash</x:v>
      </x:c>
      <x:c r="K83" s="50" t="str">
        <x:v>Deposits not distributable income; debt cash controls</x:v>
      </x:c>
      <x:c r="L83" s="50" t="str">
        <x:v>Calculate available cash by entity; flag unknown obligations</x:v>
      </x:c>
      <x:c r="M83" s="50" t="str">
        <x:v>Bank reconciliation; forecast; reserve policy</x:v>
      </x:c>
      <x:c r="N83" s="50" t="str">
        <x:v>Are distributions based on bank balance alone?</x:v>
      </x:c>
      <x:c r="O83" s="50" t="str">
        <x:v>O02;O12</x:v>
      </x:c>
      <x:c r="P83" s="50" t="str">
        <x:v>https://www.dre.ca.gov/files/pdf/refbook/ref21.pdf
https://www.rics.org/content/dam/ricsglobal/documents/standards/Service-Charges-in-Commercial-Property-2nd-edition.pdf</x:v>
      </x:c>
      <x:c r="Q83" s="50" t="str">
        <x:v>Domain anchors support parts of the decision family. The decision taxonomy and automation hypotheses are original synthesis, not claims validated in full by each source.</x:v>
      </x:c>
      <x:c r="R83" s="50" t="str">
        <x:v>O02: California example; do not universalize timing or licensing details
O12: UK professional standard; not US law; revised effective-date transition explained on RICS standard page</x:v>
      </x:c>
      <x:c r="S83" s="2"/>
    </x:row>
    <x:row r="84" ht="73" customHeight="1">
      <x:c r="A84" s="50" t="str">
        <x:v>D078</x:v>
      </x:c>
      <x:c r="B84" s="50" t="str">
        <x:v>Accounting; cash; reporting</x:v>
      </x:c>
      <x:c r="C84" s="50" t="str">
        <x:v>All; distinct client and management-company books</x:v>
      </x:c>
      <x:c r="D84" s="50" t="str">
        <x:v>What accrual; adjustment; or write-off is needed?</x:v>
      </x:c>
      <x:c r="E84" s="50" t="str">
        <x:v>Close or discovered error</x:v>
      </x:c>
      <x:c r="F84" s="50" t="str">
        <x:v>Service dates; unbilled work; receivables; accounting policy</x:v>
      </x:c>
      <x:c r="G84" s="50" t="str">
        <x:v>Accrue; reverse; correct; estimate; write off</x:v>
      </x:c>
      <x:c r="H84" s="50" t="str">
        <x:v>Controller with owner approval thresholds</x:v>
      </x:c>
      <x:c r="I84" s="50" t="str">
        <x:v>Accountant</x:v>
      </x:c>
      <x:c r="J84" s="50" t="str">
        <x:v>Period reflects economic activity</x:v>
      </x:c>
      <x:c r="K84" s="50" t="str">
        <x:v>Tax/accounting standards; evidence of estimate; authority</x:v>
      </x:c>
      <x:c r="L84" s="50" t="str">
        <x:v>Suggest journal with reason; approval for material entries</x:v>
      </x:c>
      <x:c r="M84" s="50" t="str">
        <x:v>AP; AR; lease schedule</x:v>
      </x:c>
      <x:c r="N84" s="50" t="str">
        <x:v>Which estimates reverse into surprises next month?</x:v>
      </x:c>
      <x:c r="O84" s="50" t="str">
        <x:v>O02;O12</x:v>
      </x:c>
      <x:c r="P84" s="50" t="str">
        <x:v>https://www.dre.ca.gov/files/pdf/refbook/ref21.pdf
https://www.rics.org/content/dam/ricsglobal/documents/standards/Service-Charges-in-Commercial-Property-2nd-edition.pdf</x:v>
      </x:c>
      <x:c r="Q84" s="50" t="str">
        <x:v>Domain anchors support parts of the decision family. The decision taxonomy and automation hypotheses are original synthesis, not claims validated in full by each source.</x:v>
      </x:c>
      <x:c r="R84" s="50" t="str">
        <x:v>O02: California example; do not universalize timing or licensing details
O12: UK professional standard; not US law; revised effective-date transition explained on RICS standard page</x:v>
      </x:c>
      <x:c r="S84" s="2"/>
    </x:row>
    <x:row r="85" ht="73" customHeight="1">
      <x:c r="A85" s="50" t="str">
        <x:v>D079</x:v>
      </x:c>
      <x:c r="B85" s="50" t="str">
        <x:v>Accounting; cash; reporting</x:v>
      </x:c>
      <x:c r="C85" s="50" t="str">
        <x:v>All; distinct client and management-company books</x:v>
      </x:c>
      <x:c r="D85" s="50" t="str">
        <x:v>Is the period ready to close and report?</x:v>
      </x:c>
      <x:c r="E85" s="50" t="str">
        <x:v>Month/quarter/year end</x:v>
      </x:c>
      <x:c r="F85" s="50" t="str">
        <x:v>Reconciliations; AP; AR; accruals; variance explanations</x:v>
      </x:c>
      <x:c r="G85" s="50" t="str">
        <x:v>Close; provisional report; investigate; restate</x:v>
      </x:c>
      <x:c r="H85" s="50" t="str">
        <x:v>Controller and PM</x:v>
      </x:c>
      <x:c r="I85" s="50" t="str">
        <x:v>Finance and account manager</x:v>
      </x:c>
      <x:c r="J85" s="50" t="str">
        <x:v>Timely understandable accurate reporting</x:v>
      </x:c>
      <x:c r="K85" s="50" t="str">
        <x:v>Materiality; lender and owner deadlines</x:v>
      </x:c>
      <x:c r="L85" s="50" t="str">
        <x:v>Check completeness and draft plain variance explanations</x:v>
      </x:c>
      <x:c r="M85" s="50" t="str">
        <x:v>Reconciliations; operational status; accounting policy</x:v>
      </x:c>
      <x:c r="N85" s="50" t="str">
        <x:v>How much delay comes from missing operations facts?</x:v>
      </x:c>
      <x:c r="O85" s="50" t="str">
        <x:v>O02;O12</x:v>
      </x:c>
      <x:c r="P85" s="50" t="str">
        <x:v>https://www.dre.ca.gov/files/pdf/refbook/ref21.pdf
https://www.rics.org/content/dam/ricsglobal/documents/standards/Service-Charges-in-Commercial-Property-2nd-edition.pdf</x:v>
      </x:c>
      <x:c r="Q85" s="50" t="str">
        <x:v>Domain anchors support parts of the decision family. The decision taxonomy and automation hypotheses are original synthesis, not claims validated in full by each source.</x:v>
      </x:c>
      <x:c r="R85" s="50" t="str">
        <x:v>O02: California example; do not universalize timing or licensing details
O12: UK professional standard; not US law; revised effective-date transition explained on RICS standard page</x:v>
      </x:c>
      <x:c r="S85" s="2"/>
    </x:row>
    <x:row r="86" ht="73" customHeight="1">
      <x:c r="A86" s="50" t="str">
        <x:v>D080</x:v>
      </x:c>
      <x:c r="B86" s="50" t="str">
        <x:v>Accounting; cash; reporting</x:v>
      </x:c>
      <x:c r="C86" s="50" t="str">
        <x:v>All; distinct client and management-company books</x:v>
      </x:c>
      <x:c r="D86" s="50" t="str">
        <x:v>What tax; regulatory; or lender filing is due?</x:v>
      </x:c>
      <x:c r="E86" s="50" t="str">
        <x:v>Calendar or transaction</x:v>
      </x:c>
      <x:c r="F86" s="50" t="str">
        <x:v>Entity; payments; forms; tax IDs; covenant; certified figures</x:v>
      </x:c>
      <x:c r="G86" s="50" t="str">
        <x:v>File; correct; seek extension; specialist review</x:v>
      </x:c>
      <x:c r="H86" s="50" t="str">
        <x:v>Authorized tax/finance signer</x:v>
      </x:c>
      <x:c r="I86" s="50" t="str">
        <x:v>CPA; administrator; owner</x:v>
      </x:c>
      <x:c r="J86" s="50" t="str">
        <x:v>Accurate accepted filing</x:v>
      </x:c>
      <x:c r="K86" s="50" t="str">
        <x:v>Jurisdiction; professional responsibility; deadlines</x:v>
      </x:c>
      <x:c r="L86" s="50" t="str">
        <x:v>Prepare data and completeness checks; authorized submission</x:v>
      </x:c>
      <x:c r="M86" s="50" t="str">
        <x:v>Closed books; vendor records; ownership</x:v>
      </x:c>
      <x:c r="N86" s="50" t="str">
        <x:v>Which forms are management's duty versus owner's CPA?</x:v>
      </x:c>
      <x:c r="O86" s="50" t="str">
        <x:v>O02;O12</x:v>
      </x:c>
      <x:c r="P86" s="50" t="str">
        <x:v>https://www.dre.ca.gov/files/pdf/refbook/ref21.pdf
https://www.rics.org/content/dam/ricsglobal/documents/standards/Service-Charges-in-Commercial-Property-2nd-edition.pdf</x:v>
      </x:c>
      <x:c r="Q86" s="50" t="str">
        <x:v>Domain anchors support parts of the decision family. The decision taxonomy and automation hypotheses are original synthesis, not claims validated in full by each source.</x:v>
      </x:c>
      <x:c r="R86" s="50" t="str">
        <x:v>O02: California example; do not universalize timing or licensing details
O12: UK professional standard; not US law; revised effective-date transition explained on RICS standard page</x:v>
      </x:c>
      <x:c r="S86" s="2"/>
    </x:row>
    <x:row r="87" ht="73" customHeight="1">
      <x:c r="A87" s="50" t="str">
        <x:v>D081</x:v>
      </x:c>
      <x:c r="B87" s="50" t="str">
        <x:v>Accounting; cash; reporting</x:v>
      </x:c>
      <x:c r="C87" s="50" t="str">
        <x:v>All; distinct client and management-company books</x:v>
      </x:c>
      <x:c r="D87" s="50" t="str">
        <x:v>How should financial error or fraud be handled?</x:v>
      </x:c>
      <x:c r="E87" s="50" t="str">
        <x:v>Mismatch; duplicate; complaint; breach</x:v>
      </x:c>
      <x:c r="F87" s="50" t="str">
        <x:v>Transaction trail; permissions; confirmations; exposure</x:v>
      </x:c>
      <x:c r="G87" s="50" t="str">
        <x:v>Contain; investigate; correct; notify; recover; report</x:v>
      </x:c>
      <x:c r="H87" s="50" t="str">
        <x:v>Principal/controller with counsel</x:v>
      </x:c>
      <x:c r="I87" s="50" t="str">
        <x:v>Finance; bank; insurer; investigator</x:v>
      </x:c>
      <x:c r="J87" s="50" t="str">
        <x:v>Limit loss and restore reliable records</x:v>
      </x:c>
      <x:c r="K87" s="50" t="str">
        <x:v>Privacy; reporting duties; preserve records; conflicts</x:v>
      </x:c>
      <x:c r="L87" s="50" t="str">
        <x:v>Detect anomalies and collect facts; do not silently overwrite</x:v>
      </x:c>
      <x:c r="M87" s="50" t="str">
        <x:v>Bank controls; access logs; insurance</x:v>
      </x:c>
      <x:c r="N87" s="50" t="str">
        <x:v>Can an operator reconstruct who changed what?</x:v>
      </x:c>
      <x:c r="O87" s="50" t="str">
        <x:v>O02;O12</x:v>
      </x:c>
      <x:c r="P87" s="50" t="str">
        <x:v>https://www.dre.ca.gov/files/pdf/refbook/ref21.pdf
https://www.rics.org/content/dam/ricsglobal/documents/standards/Service-Charges-in-Commercial-Property-2nd-edition.pdf</x:v>
      </x:c>
      <x:c r="Q87" s="50" t="str">
        <x:v>Domain anchors support parts of the decision family. The decision taxonomy and automation hypotheses are original synthesis, not claims validated in full by each source.</x:v>
      </x:c>
      <x:c r="R87" s="50" t="str">
        <x:v>O02: California example; do not universalize timing or licensing details
O12: UK professional standard; not US law; revised effective-date transition explained on RICS standard page</x:v>
      </x:c>
      <x:c r="S87" s="2"/>
    </x:row>
    <x:row r="88" ht="99" customHeight="1">
      <x:c r="A88" s="50" t="str">
        <x:v>D082</x:v>
      </x:c>
      <x:c r="B88" s="50" t="str">
        <x:v>Renewal; vacancy; turn</x:v>
      </x:c>
      <x:c r="C88" s="50" t="str">
        <x:v>Rental; special booking cycles differ</x:v>
      </x:c>
      <x:c r="D88" s="50" t="str">
        <x:v>Who should receive what renewal offer?</x:v>
      </x:c>
      <x:c r="E88" s="50" t="str">
        <x:v>Lease expiry horizon</x:v>
      </x:c>
      <x:c r="F88" s="50" t="str">
        <x:v>Legal rights; performance; market; condition; planned works</x:v>
      </x:c>
      <x:c r="G88" s="50" t="str">
        <x:v>Renew; changed lawful terms; fixed/more flexible term; lawful nonrenewal</x:v>
      </x:c>
      <x:c r="H88" s="50" t="str">
        <x:v>Owner/delegated PM; counsel for constrained cases</x:v>
      </x:c>
      <x:c r="I88" s="50" t="str">
        <x:v>Leasing</x:v>
      </x:c>
      <x:c r="J88" s="50" t="str">
        <x:v>Retain desired occupancy at viable terms</x:v>
      </x:c>
      <x:c r="K88" s="50" t="str">
        <x:v>Rent rules; notice; retaliation; fair housing</x:v>
      </x:c>
      <x:c r="L88" s="50" t="str">
        <x:v>Compare retention economics and generate approved offers</x:v>
      </x:c>
      <x:c r="M88" s="50" t="str">
        <x:v>Pricing; resident issues; unit plans</x:v>
      </x:c>
      <x:c r="N88" s="50" t="str">
        <x:v>Does renewal pricing consider avoided turn cost?</x:v>
      </x:c>
      <x:c r="O88" s="50" t="str">
        <x:v>O01;O13</x:v>
      </x:c>
      <x:c r="P88" s="50" t="str">
        <x:v>https://www.dre.ca.gov/files/pdf/refbook/ref22.pdf
https://oag.ca.gov/tenants</x:v>
      </x:c>
      <x:c r="Q88" s="50" t="str">
        <x:v>Domain anchors support parts of the decision family. The decision taxonomy and automation hypotheses are original synthesis, not claims validated in full by each source.</x:v>
      </x:c>
      <x:c r="R88" s="50" t="str">
        <x:v>O01: Background scope anchor; not current fee benchmark or complete legal implementation; decision taxonomy is original synthesis
O13: Representative state illustration; exceptions and city overlays require actual statutory review</x:v>
      </x:c>
      <x:c r="S88" s="2"/>
    </x:row>
    <x:row r="89" ht="99" customHeight="1">
      <x:c r="A89" s="50" t="str">
        <x:v>D083</x:v>
      </x:c>
      <x:c r="B89" s="50" t="str">
        <x:v>Renewal; vacancy; turn</x:v>
      </x:c>
      <x:c r="C89" s="50" t="str">
        <x:v>Rental; special booking cycles differ</x:v>
      </x:c>
      <x:c r="D89" s="50" t="str">
        <x:v>Accept a renewal negotiation or transfer?</x:v>
      </x:c>
      <x:c r="E89" s="50" t="str">
        <x:v>Counteroffer or relocation request</x:v>
      </x:c>
      <x:c r="F89" s="50" t="str">
        <x:v>Vacancy risk; moving needs; alternative units; authority</x:v>
      </x:c>
      <x:c r="G89" s="50" t="str">
        <x:v>Accept; counter; transfer; temporary arrangement; decline</x:v>
      </x:c>
      <x:c r="H89" s="50" t="str">
        <x:v>Delegated PM or owner</x:v>
      </x:c>
      <x:c r="I89" s="50" t="str">
        <x:v>Leasing and accounting</x:v>
      </x:c>
      <x:c r="J89" s="50" t="str">
        <x:v>Feasible mutually understood arrangement</x:v>
      </x:c>
      <x:c r="K89" s="50" t="str">
        <x:v>Rights; fair treatment; accurate credits</x:v>
      </x:c>
      <x:c r="L89" s="50" t="str">
        <x:v>Scenario comparison and standard amendment generation</x:v>
      </x:c>
      <x:c r="M89" s="50" t="str">
        <x:v>Availability; repairs; concessions</x:v>
      </x:c>
      <x:c r="N89" s="50" t="str">
        <x:v>Which concessions preserve more value than vacancy?</x:v>
      </x:c>
      <x:c r="O89" s="50" t="str">
        <x:v>O01;O13</x:v>
      </x:c>
      <x:c r="P89" s="50" t="str">
        <x:v>https://www.dre.ca.gov/files/pdf/refbook/ref22.pdf
https://oag.ca.gov/tenants</x:v>
      </x:c>
      <x:c r="Q89" s="50" t="str">
        <x:v>Domain anchors support parts of the decision family. The decision taxonomy and automation hypotheses are original synthesis, not claims validated in full by each source.</x:v>
      </x:c>
      <x:c r="R89" s="50" t="str">
        <x:v>O01: Background scope anchor; not current fee benchmark or complete legal implementation; decision taxonomy is original synthesis
O13: Representative state illustration; exceptions and city overlays require actual statutory review</x:v>
      </x:c>
      <x:c r="S89" s="2"/>
    </x:row>
    <x:row r="90" ht="99" customHeight="1">
      <x:c r="A90" s="50" t="str">
        <x:v>D084</x:v>
      </x:c>
      <x:c r="B90" s="50" t="str">
        <x:v>Renewal; vacancy; turn</x:v>
      </x:c>
      <x:c r="C90" s="50" t="str">
        <x:v>Rental; special booking cycles differ</x:v>
      </x:c>
      <x:c r="D90" s="50" t="str">
        <x:v>Is notice to leave valid and what date governs?</x:v>
      </x:c>
      <x:c r="E90" s="50" t="str">
        <x:v>Resident notice; lease end; court order</x:v>
      </x:c>
      <x:c r="F90" s="50" t="str">
        <x:v>Lease; service date; local law; mutual agreement</x:v>
      </x:c>
      <x:c r="G90" s="50" t="str">
        <x:v>Confirm; seek correction; negotiate; counsel review</x:v>
      </x:c>
      <x:c r="H90" s="50" t="str">
        <x:v>PM with counsel for ambiguity</x:v>
      </x:c>
      <x:c r="I90" s="50" t="str">
        <x:v>Leasing administrator</x:v>
      </x:c>
      <x:c r="J90" s="50" t="str">
        <x:v>Clear lawful end-of-possession plan</x:v>
      </x:c>
      <x:c r="K90" s="50" t="str">
        <x:v>Notice rules; protected rights; holdover</x:v>
      </x:c>
      <x:c r="L90" s="50" t="str">
        <x:v>Extract dates; flag ambiguity; draft confirmation</x:v>
      </x:c>
      <x:c r="M90" s="50" t="str">
        <x:v>Leasing availability; move-out; legal process</x:v>
      </x:c>
      <x:c r="N90" s="50" t="str">
        <x:v>Does unit availability use notice date or confirmed possession?</x:v>
      </x:c>
      <x:c r="O90" s="50" t="str">
        <x:v>O01;O13</x:v>
      </x:c>
      <x:c r="P90" s="50" t="str">
        <x:v>https://www.dre.ca.gov/files/pdf/refbook/ref22.pdf
https://oag.ca.gov/tenants</x:v>
      </x:c>
      <x:c r="Q90" s="50" t="str">
        <x:v>Domain anchors support parts of the decision family. The decision taxonomy and automation hypotheses are original synthesis, not claims validated in full by each source.</x:v>
      </x:c>
      <x:c r="R90" s="50" t="str">
        <x:v>O01: Background scope anchor; not current fee benchmark or complete legal implementation; decision taxonomy is original synthesis
O13: Representative state illustration; exceptions and city overlays require actual statutory review</x:v>
      </x:c>
      <x:c r="S90" s="2"/>
    </x:row>
    <x:row r="91" ht="99" customHeight="1">
      <x:c r="A91" s="50" t="str">
        <x:v>D085</x:v>
      </x:c>
      <x:c r="B91" s="50" t="str">
        <x:v>Renewal; vacancy; turn</x:v>
      </x:c>
      <x:c r="C91" s="50" t="str">
        <x:v>Rental; special booking cycles differ</x:v>
      </x:c>
      <x:c r="D91" s="50" t="str">
        <x:v>What if possession does not return as expected?</x:v>
      </x:c>
      <x:c r="E91" s="50" t="str">
        <x:v>Holdover; apparent abandonment; death</x:v>
      </x:c>
      <x:c r="F91" s="50" t="str">
        <x:v>Actual occupancy; lawful representatives; contacts; court status</x:v>
      </x:c>
      <x:c r="G91" s="50" t="str">
        <x:v>Contact; negotiate; protect property; legal process</x:v>
      </x:c>
      <x:c r="H91" s="50" t="str">
        <x:v>PM/owner with counsel</x:v>
      </x:c>
      <x:c r="I91" s="50" t="str">
        <x:v>PM; counsel; authorized official</x:v>
      </x:c>
      <x:c r="J91" s="50" t="str">
        <x:v>Lawful possession and protected belongings</x:v>
      </x:c>
      <x:c r="K91" s="50" t="str">
        <x:v>No self-help; probate; abandonment rules; privacy</x:v>
      </x:c>
      <x:c r="L91" s="50" t="str">
        <x:v>Detect missed handover and assemble facts; stop automatic rekey</x:v>
      </x:c>
      <x:c r="M91" s="50" t="str">
        <x:v>Notice; access; future move-in</x:v>
      </x:c>
      <x:c r="N91" s="50" t="str">
        <x:v>What happens to a new lease if old occupant remains?</x:v>
      </x:c>
      <x:c r="O91" s="50" t="str">
        <x:v>O01;O13</x:v>
      </x:c>
      <x:c r="P91" s="50" t="str">
        <x:v>https://www.dre.ca.gov/files/pdf/refbook/ref22.pdf
https://oag.ca.gov/tenants</x:v>
      </x:c>
      <x:c r="Q91" s="50" t="str">
        <x:v>Domain anchors support parts of the decision family. The decision taxonomy and automation hypotheses are original synthesis, not claims validated in full by each source.</x:v>
      </x:c>
      <x:c r="R91" s="50" t="str">
        <x:v>O01: Background scope anchor; not current fee benchmark or complete legal implementation; decision taxonomy is original synthesis
O13: Representative state illustration; exceptions and city overlays require actual statutory review</x:v>
      </x:c>
      <x:c r="S91" s="2"/>
    </x:row>
    <x:row r="92" ht="99" customHeight="1">
      <x:c r="A92" s="50" t="str">
        <x:v>D086</x:v>
      </x:c>
      <x:c r="B92" s="50" t="str">
        <x:v>Renewal; vacancy; turn</x:v>
      </x:c>
      <x:c r="C92" s="50" t="str">
        <x:v>Rental; special booking cycles differ</x:v>
      </x:c>
      <x:c r="D92" s="50" t="str">
        <x:v>What work makes vacant space ready?</x:v>
      </x:c>
      <x:c r="E92" s="50" t="str">
        <x:v>Possession returned</x:v>
      </x:c>
      <x:c r="F92" s="50" t="str">
        <x:v>Condition; original baseline; target standard; budget; next start</x:v>
      </x:c>
      <x:c r="G92" s="50" t="str">
        <x:v>Clean; repair; refresh; renovate; sell as-is if lawful</x:v>
      </x:c>
      <x:c r="H92" s="50" t="str">
        <x:v>PM within spend; owner for larger work</x:v>
      </x:c>
      <x:c r="I92" s="50" t="str">
        <x:v>Turn coordinator and trades</x:v>
      </x:c>
      <x:c r="J92" s="50" t="str">
        <x:v>Promised readiness at justified cost</x:v>
      </x:c>
      <x:c r="K92" s="50" t="str">
        <x:v>Habitability; reasonable charges; access; procurement</x:v>
      </x:c>
      <x:c r="L92" s="50" t="str">
        <x:v>Generate scoped plan from inspection; schedule dependencies</x:v>
      </x:c>
      <x:c r="M92" s="50" t="str">
        <x:v>Deposit allocation separate; leasing date; materials</x:v>
      </x:c>
      <x:c r="N92" s="50" t="str">
        <x:v>Which turn tasks lie on actual critical path?</x:v>
      </x:c>
      <x:c r="O92" s="50" t="str">
        <x:v>O01;O13</x:v>
      </x:c>
      <x:c r="P92" s="50" t="str">
        <x:v>https://www.dre.ca.gov/files/pdf/refbook/ref22.pdf
https://oag.ca.gov/tenants</x:v>
      </x:c>
      <x:c r="Q92" s="50" t="str">
        <x:v>Domain anchors support parts of the decision family. The decision taxonomy and automation hypotheses are original synthesis, not claims validated in full by each source.</x:v>
      </x:c>
      <x:c r="R92" s="50" t="str">
        <x:v>O01: Background scope anchor; not current fee benchmark or complete legal implementation; decision taxonomy is original synthesis
O13: Representative state illustration; exceptions and city overlays require actual statutory review</x:v>
      </x:c>
      <x:c r="S92" s="2"/>
    </x:row>
    <x:row r="93" ht="99" customHeight="1">
      <x:c r="A93" s="50" t="str">
        <x:v>D087</x:v>
      </x:c>
      <x:c r="B93" s="50" t="str">
        <x:v>Renewal; vacancy; turn</x:v>
      </x:c>
      <x:c r="C93" s="50" t="str">
        <x:v>Rental; special booking cycles differ</x:v>
      </x:c>
      <x:c r="D93" s="50" t="str">
        <x:v>What can be charged or refunded at move-out?</x:v>
      </x:c>
      <x:c r="E93" s="50" t="str">
        <x:v>End of occupancy</x:v>
      </x:c>
      <x:c r="F93" s="50" t="str">
        <x:v>Ledger; deposit; baseline; condition; wear; invoices; law</x:v>
      </x:c>
      <x:c r="G93" s="50" t="str">
        <x:v>Refund; lawful itemized deduction; additional bill; dispute</x:v>
      </x:c>
      <x:c r="H93" s="50" t="str">
        <x:v>Housing provider/delegated PM</x:v>
      </x:c>
      <x:c r="I93" s="50" t="str">
        <x:v>Accounting and PM</x:v>
      </x:c>
      <x:c r="J93" s="50" t="str">
        <x:v>Correct timely final account</x:v>
      </x:c>
      <x:c r="K93" s="50" t="str">
        <x:v>Local deadlines; ordinary wear; documentation; transfer obligations</x:v>
      </x:c>
      <x:c r="L93" s="50" t="str">
        <x:v>Calculate and assemble itemization; review disputed causation</x:v>
      </x:c>
      <x:c r="M93" s="50" t="str">
        <x:v>Inspection; final utilities; legal status</x:v>
      </x:c>
      <x:c r="N93" s="50" t="str">
        <x:v>Are deductions based on damage or owner's improvement wishes?</x:v>
      </x:c>
      <x:c r="O93" s="50" t="str">
        <x:v>O01;O13</x:v>
      </x:c>
      <x:c r="P93" s="50" t="str">
        <x:v>https://www.dre.ca.gov/files/pdf/refbook/ref22.pdf
https://oag.ca.gov/tenants</x:v>
      </x:c>
      <x:c r="Q93" s="50" t="str">
        <x:v>Domain anchors support parts of the decision family. The decision taxonomy and automation hypotheses are original synthesis, not claims validated in full by each source.</x:v>
      </x:c>
      <x:c r="R93" s="50" t="str">
        <x:v>O01: Background scope anchor; not current fee benchmark or complete legal implementation; decision taxonomy is original synthesis
O13: Representative state illustration; exceptions and city overlays require actual statutory review</x:v>
      </x:c>
      <x:c r="S93" s="2"/>
    </x:row>
    <x:row r="94" ht="99" customHeight="1">
      <x:c r="A94" s="50" t="str">
        <x:v>D088</x:v>
      </x:c>
      <x:c r="B94" s="50" t="str">
        <x:v>Renewal; vacancy; turn</x:v>
      </x:c>
      <x:c r="C94" s="50" t="str">
        <x:v>Rental; special booking cycles differ</x:v>
      </x:c>
      <x:c r="D94" s="50" t="str">
        <x:v>Is the turn complete and availability accurate?</x:v>
      </x:c>
      <x:c r="E94" s="50" t="str">
        <x:v>Claimed turn completion</x:v>
      </x:c>
      <x:c r="F94" s="50" t="str">
        <x:v>Inspection; repair tests; cleaning; keys; marketing promises</x:v>
      </x:c>
      <x:c r="G94" s="50" t="str">
        <x:v>Release; reopen; correct listing; renegotiate move-in</x:v>
      </x:c>
      <x:c r="H94" s="50" t="str">
        <x:v>PM/site lead</x:v>
      </x:c>
      <x:c r="I94" s="50" t="str">
        <x:v>Maintenance and leasing</x:v>
      </x:c>
      <x:c r="J94" s="50" t="str">
        <x:v>Space ready when promised</x:v>
      </x:c>
      <x:c r="K94" s="50" t="str">
        <x:v>Occupancy approval; health; truthful advertising</x:v>
      </x:c>
      <x:c r="L94" s="50" t="str">
        <x:v>Cross-check physical readiness against advertised date</x:v>
      </x:c>
      <x:c r="M94" s="50" t="str">
        <x:v>Reactive work; incoming lease; utility state</x:v>
      </x:c>
      <x:c r="N94" s="50" t="str">
        <x:v>Who bears responsibility for false ready status?</x:v>
      </x:c>
      <x:c r="O94" s="50" t="str">
        <x:v>O01;O13</x:v>
      </x:c>
      <x:c r="P94" s="50" t="str">
        <x:v>https://www.dre.ca.gov/files/pdf/refbook/ref22.pdf
https://oag.ca.gov/tenants</x:v>
      </x:c>
      <x:c r="Q94" s="50" t="str">
        <x:v>Domain anchors support parts of the decision family. The decision taxonomy and automation hypotheses are original synthesis, not claims validated in full by each source.</x:v>
      </x:c>
      <x:c r="R94" s="50" t="str">
        <x:v>O01: Background scope anchor; not current fee benchmark or complete legal implementation; decision taxonomy is original synthesis
O13: Representative state illustration; exceptions and city overlays require actual statutory review</x:v>
      </x:c>
      <x:c r="S94" s="2"/>
    </x:row>
    <x:row r="95" ht="138" customHeight="1">
      <x:c r="A95" s="50" t="str">
        <x:v>D089</x:v>
      </x:c>
      <x:c r="B95" s="50" t="str">
        <x:v>Legal; insurance; casualty; continuity</x:v>
      </x:c>
      <x:c r="C95" s="50" t="str">
        <x:v>All with jurisdiction-specific paths</x:v>
      </x:c>
      <x:c r="D95" s="50" t="str">
        <x:v>What does an official notice or legal claim require?</x:v>
      </x:c>
      <x:c r="E95" s="50" t="str">
        <x:v>Inspection; complaint; summons; subpoena</x:v>
      </x:c>
      <x:c r="F95" s="50" t="str">
        <x:v>Instrument; service date; property; alleged facts; insurance</x:v>
      </x:c>
      <x:c r="G95" s="50" t="str">
        <x:v>Remedy; respond; contest; counsel; notify insurer</x:v>
      </x:c>
      <x:c r="H95" s="50" t="str">
        <x:v>Owner/PM with counsel</x:v>
      </x:c>
      <x:c r="I95" s="50" t="str">
        <x:v>Counsel and operations</x:v>
      </x:c>
      <x:c r="J95" s="50" t="str">
        <x:v>Timely accurate response and underlying remedy</x:v>
      </x:c>
      <x:c r="K95" s="50" t="str">
        <x:v>Service; deadline; privilege; authority</x:v>
      </x:c>
      <x:c r="L95" s="50" t="str">
        <x:v>Recognize document and route; validate dates with responsible professional</x:v>
      </x:c>
      <x:c r="M95" s="50" t="str">
        <x:v>Repairs; resident history; legal hold</x:v>
      </x:c>
      <x:c r="N95" s="50" t="str">
        <x:v>Where do legal documents first arrive and get lost?</x:v>
      </x:c>
      <x:c r="O95" s="50" t="str">
        <x:v>O05;O08;O10;O14</x:v>
      </x:c>
      <x:c r="P95" s="50" t="str">
        <x:v>https://www.epa.gov/lead/real-estate-disclosures-about-potential-lead-hazards
https://www.nyc.gov/site/hpd/services-and-information/heat-and-hot-water-information.page
https://www.uscourts.gov/court-programs/bankruptcy/bankruptcy-basics/chapter-11-bankruptcy-basics
https://www.justice.gov/crt/fair-housing-act-1</x:v>
      </x:c>
      <x:c r="Q95" s="50" t="str">
        <x:v>Domain anchors support parts of the decision family. The decision taxonomy and automation hypotheses are original synthesis, not claims validated in full by each source.</x:v>
      </x:c>
      <x:c r="R95" s="50" t="str">
        <x:v>O05: Illustrative disclosure family; exemptions and renovation requirements need property-specific review
O08: Representative local rule; no generalization to other places
O10: Chapter 11 overview; particular court orders and other bankruptcy chapters differ
O14: Page updated 2023; does not establish current detailed HUD enforcement guidance or local protected categories</x:v>
      </x:c>
      <x:c r="S95" s="2"/>
    </x:row>
    <x:row r="96" ht="138" customHeight="1">
      <x:c r="A96" s="50" t="str">
        <x:v>D090</x:v>
      </x:c>
      <x:c r="B96" s="50" t="str">
        <x:v>Legal; insurance; casualty; continuity</x:v>
      </x:c>
      <x:c r="C96" s="50" t="str">
        <x:v>All with jurisdiction-specific paths</x:v>
      </x:c>
      <x:c r="D96" s="50" t="str">
        <x:v>Which insurance coverage and renewal is appropriate?</x:v>
      </x:c>
      <x:c r="E96" s="50" t="str">
        <x:v>Annual renewal; changed exposure</x:v>
      </x:c>
      <x:c r="F96" s="50" t="str">
        <x:v>Property risks; lender requirements; loss history; quote terms</x:v>
      </x:c>
      <x:c r="G96" s="50" t="str">
        <x:v>Renew; increase limits; change deductible; mitigate; replace</x:v>
      </x:c>
      <x:c r="H96" s="50" t="str">
        <x:v>Owner with broker/adviser</x:v>
      </x:c>
      <x:c r="I96" s="50" t="str">
        <x:v>Insurance broker and PM</x:v>
      </x:c>
      <x:c r="J96" s="50" t="str">
        <x:v>Appropriate insurable risk at viable cost</x:v>
      </x:c>
      <x:c r="K96" s="50" t="str">
        <x:v>Exclusions; coverage gaps; lender mandate</x:v>
      </x:c>
      <x:c r="L96" s="50" t="str">
        <x:v>Compare terms and missing exposures; licensed advice as needed</x:v>
      </x:c>
      <x:c r="M96" s="50" t="str">
        <x:v>Capital improvements; claims; ownership</x:v>
      </x:c>
      <x:c r="N96" s="50" t="str">
        <x:v>Are limits based on current replacement cost?</x:v>
      </x:c>
      <x:c r="O96" s="50" t="str">
        <x:v>O05;O08;O10;O14</x:v>
      </x:c>
      <x:c r="P96" s="50" t="str">
        <x:v>https://www.epa.gov/lead/real-estate-disclosures-about-potential-lead-hazards
https://www.nyc.gov/site/hpd/services-and-information/heat-and-hot-water-information.page
https://www.uscourts.gov/court-programs/bankruptcy/bankruptcy-basics/chapter-11-bankruptcy-basics
https://www.justice.gov/crt/fair-housing-act-1</x:v>
      </x:c>
      <x:c r="Q96" s="50" t="str">
        <x:v>Domain anchors support parts of the decision family. The decision taxonomy and automation hypotheses are original synthesis, not claims validated in full by each source.</x:v>
      </x:c>
      <x:c r="R96" s="50" t="str">
        <x:v>O05: Illustrative disclosure family; exemptions and renovation requirements need property-specific review
O08: Representative local rule; no generalization to other places
O10: Chapter 11 overview; particular court orders and other bankruptcy chapters differ
O14: Page updated 2023; does not establish current detailed HUD enforcement guidance or local protected categories</x:v>
      </x:c>
      <x:c r="S96" s="2"/>
    </x:row>
    <x:row r="97" ht="138" customHeight="1">
      <x:c r="A97" s="50" t="str">
        <x:v>D091</x:v>
      </x:c>
      <x:c r="B97" s="50" t="str">
        <x:v>Legal; insurance; casualty; continuity</x:v>
      </x:c>
      <x:c r="C97" s="50" t="str">
        <x:v>All with jurisdiction-specific paths</x:v>
      </x:c>
      <x:c r="D97" s="50" t="str">
        <x:v>Is this event an insurance claim and what action comes first?</x:v>
      </x:c>
      <x:c r="E97" s="50" t="str">
        <x:v>Damage; injury; interruption</x:v>
      </x:c>
      <x:c r="F97" s="50" t="str">
        <x:v>Safety; loss facts; policy; notice; mitigation; deductible</x:v>
      </x:c>
      <x:c r="G97" s="50" t="str">
        <x:v>Emergency response; mitigate; notify; claim; self-fund</x:v>
      </x:c>
      <x:c r="H97" s="50" t="str">
        <x:v>PM emergency authority; owner/insurer on claim</x:v>
      </x:c>
      <x:c r="I97" s="50" t="str">
        <x:v>PM; restoration; adjuster; counsel</x:v>
      </x:c>
      <x:c r="J97" s="50" t="str">
        <x:v>Limit loss and preserve legitimate recovery</x:v>
      </x:c>
      <x:c r="K97" s="50" t="str">
        <x:v>Notice; documentation; admissions; access; safety</x:v>
      </x:c>
      <x:c r="L97" s="50" t="str">
        <x:v>Prompt timely notices and track insurer requests</x:v>
      </x:c>
      <x:c r="M97" s="50" t="str">
        <x:v>Repair; casualty; finance; resident relocation</x:v>
      </x:c>
      <x:c r="N97" s="50" t="str">
        <x:v>Do teams delay mitigation while waiting on coverage?</x:v>
      </x:c>
      <x:c r="O97" s="50" t="str">
        <x:v>O05;O08;O10;O14</x:v>
      </x:c>
      <x:c r="P97" s="50" t="str">
        <x:v>https://www.epa.gov/lead/real-estate-disclosures-about-potential-lead-hazards
https://www.nyc.gov/site/hpd/services-and-information/heat-and-hot-water-information.page
https://www.uscourts.gov/court-programs/bankruptcy/bankruptcy-basics/chapter-11-bankruptcy-basics
https://www.justice.gov/crt/fair-housing-act-1</x:v>
      </x:c>
      <x:c r="Q97" s="50" t="str">
        <x:v>Domain anchors support parts of the decision family. The decision taxonomy and automation hypotheses are original synthesis, not claims validated in full by each source.</x:v>
      </x:c>
      <x:c r="R97" s="50" t="str">
        <x:v>O05: Illustrative disclosure family; exemptions and renovation requirements need property-specific review
O08: Representative local rule; no generalization to other places
O10: Chapter 11 overview; particular court orders and other bankruptcy chapters differ
O14: Page updated 2023; does not establish current detailed HUD enforcement guidance or local protected categories</x:v>
      </x:c>
      <x:c r="S97" s="2"/>
    </x:row>
    <x:row r="98" ht="138" customHeight="1">
      <x:c r="A98" s="50" t="str">
        <x:v>D092</x:v>
      </x:c>
      <x:c r="B98" s="50" t="str">
        <x:v>Legal; insurance; casualty; continuity</x:v>
      </x:c>
      <x:c r="C98" s="50" t="str">
        <x:v>All with jurisdiction-specific paths</x:v>
      </x:c>
      <x:c r="D98" s="50" t="str">
        <x:v>How should casualty displacement and restoration be managed?</x:v>
      </x:c>
      <x:c r="E98" s="50" t="str">
        <x:v>Fire; flood; structural problem; utility failure</x:v>
      </x:c>
      <x:c r="F98" s="50" t="str">
        <x:v>Affected occupants; safe areas; experts; funds; lease; authority</x:v>
      </x:c>
      <x:c r="G98" s="50" t="str">
        <x:v>Evacuate; temporary accommodation; phase repairs; terminate where lawful</x:v>
      </x:c>
      <x:c r="H98" s="50" t="str">
        <x:v>Emergency authorities; owner; PM within authority</x:v>
      </x:c>
      <x:c r="I98" s="50" t="str">
        <x:v>Responders; PM; contractors; insurer</x:v>
      </x:c>
      <x:c r="J98" s="50" t="str">
        <x:v>Safe people and feasible restoration</x:v>
      </x:c>
      <x:c r="K98" s="50" t="str">
        <x:v>Habitability; occupancy approval; insurer/lender controls</x:v>
      </x:c>
      <x:c r="L98" s="50" t="str">
        <x:v>Coordinate parties and milestones; qualified safety decisions</x:v>
      </x:c>
      <x:c r="M98" s="50" t="str">
        <x:v>Access; claims; utilities; resident needs</x:v>
      </x:c>
      <x:c r="N98" s="50" t="str">
        <x:v>Who owns temporary accommodation and reoccupation decisions?</x:v>
      </x:c>
      <x:c r="O98" s="50" t="str">
        <x:v>O05;O08;O10;O14</x:v>
      </x:c>
      <x:c r="P98" s="50" t="str">
        <x:v>https://www.epa.gov/lead/real-estate-disclosures-about-potential-lead-hazards
https://www.nyc.gov/site/hpd/services-and-information/heat-and-hot-water-information.page
https://www.uscourts.gov/court-programs/bankruptcy/bankruptcy-basics/chapter-11-bankruptcy-basics
https://www.justice.gov/crt/fair-housing-act-1</x:v>
      </x:c>
      <x:c r="Q98" s="50" t="str">
        <x:v>Domain anchors support parts of the decision family. The decision taxonomy and automation hypotheses are original synthesis, not claims validated in full by each source.</x:v>
      </x:c>
      <x:c r="R98" s="50" t="str">
        <x:v>O05: Illustrative disclosure family; exemptions and renovation requirements need property-specific review
O08: Representative local rule; no generalization to other places
O10: Chapter 11 overview; particular court orders and other bankruptcy chapters differ
O14: Page updated 2023; does not establish current detailed HUD enforcement guidance or local protected categories</x:v>
      </x:c>
      <x:c r="S98" s="2"/>
    </x:row>
    <x:row r="99" ht="138" customHeight="1">
      <x:c r="A99" s="50" t="str">
        <x:v>D093</x:v>
      </x:c>
      <x:c r="B99" s="50" t="str">
        <x:v>Legal; insurance; casualty; continuity</x:v>
      </x:c>
      <x:c r="C99" s="50" t="str">
        <x:v>All with jurisdiction-specific paths</x:v>
      </x:c>
      <x:c r="D99" s="50" t="str">
        <x:v>What changes when owner or tenant enters insolvency?</x:v>
      </x:c>
      <x:c r="E99" s="50" t="str">
        <x:v>Bankruptcy; receiver; foreclosure notice</x:v>
      </x:c>
      <x:c r="F99" s="50" t="str">
        <x:v>Court orders; debtor identity; control; funds; contracts</x:v>
      </x:c>
      <x:c r="G99" s="50" t="str">
        <x:v>Hold prohibited action; seek counsel; update authority; continue permitted service</x:v>
      </x:c>
      <x:c r="H99" s="50" t="str">
        <x:v>Court/receiver/trustee/owner as applicable</x:v>
      </x:c>
      <x:c r="I99" s="50" t="str">
        <x:v>Counsel; PM; finance</x:v>
      </x:c>
      <x:c r="J99" s="50" t="str">
        <x:v>Essential operations under valid authority</x:v>
      </x:c>
      <x:c r="K99" s="50" t="str">
        <x:v>Automatic stay; restricted funds; order-specific powers</x:v>
      </x:c>
      <x:c r="L99" s="50" t="str">
        <x:v>Identify holds and route approvals; current counsel required</x:v>
      </x:c>
      <x:c r="M99" s="50" t="str">
        <x:v>Collections; vendor payments; mandate</x:v>
      </x:c>
      <x:c r="N99" s="50" t="str">
        <x:v>Can automated reminders and payments be stopped selectively?</x:v>
      </x:c>
      <x:c r="O99" s="50" t="str">
        <x:v>O05;O08;O10;O14</x:v>
      </x:c>
      <x:c r="P99" s="50" t="str">
        <x:v>https://www.epa.gov/lead/real-estate-disclosures-about-potential-lead-hazards
https://www.nyc.gov/site/hpd/services-and-information/heat-and-hot-water-information.page
https://www.uscourts.gov/court-programs/bankruptcy/bankruptcy-basics/chapter-11-bankruptcy-basics
https://www.justice.gov/crt/fair-housing-act-1</x:v>
      </x:c>
      <x:c r="Q99" s="50" t="str">
        <x:v>Domain anchors support parts of the decision family. The decision taxonomy and automation hypotheses are original synthesis, not claims validated in full by each source.</x:v>
      </x:c>
      <x:c r="R99" s="50" t="str">
        <x:v>O05: Illustrative disclosure family; exemptions and renovation requirements need property-specific review
O08: Representative local rule; no generalization to other places
O10: Chapter 11 overview; particular court orders and other bankruptcy chapters differ
O14: Page updated 2023; does not establish current detailed HUD enforcement guidance or local protected categories</x:v>
      </x:c>
      <x:c r="S99" s="2"/>
    </x:row>
    <x:row r="100" ht="138" customHeight="1">
      <x:c r="A100" s="50" t="str">
        <x:v>D094</x:v>
      </x:c>
      <x:c r="B100" s="50" t="str">
        <x:v>Legal; insurance; casualty; continuity</x:v>
      </x:c>
      <x:c r="C100" s="50" t="str">
        <x:v>All with jurisdiction-specific paths</x:v>
      </x:c>
      <x:c r="D100" s="50" t="str">
        <x:v>What records must be retained; disclosed; or protected?</x:v>
      </x:c>
      <x:c r="E100" s="50" t="str">
        <x:v>Dispute; request; retention date; privacy event</x:v>
      </x:c>
      <x:c r="F100" s="50" t="str">
        <x:v>Document type; jurisdiction; legal hold; permissions</x:v>
      </x:c>
      <x:c r="G100" s="50" t="str">
        <x:v>Retain; restrict; disclose approved subset; redact; delete lawfully</x:v>
      </x:c>
      <x:c r="H100" s="50" t="str">
        <x:v>Authorized records/privacy/legal role</x:v>
      </x:c>
      <x:c r="I100" s="50" t="str">
        <x:v>Administrator and IT</x:v>
      </x:c>
      <x:c r="J100" s="50" t="str">
        <x:v>Available accurate records with appropriate privacy</x:v>
      </x:c>
      <x:c r="K100" s="50" t="str">
        <x:v>Legal hold; consumer reports; retention; security</x:v>
      </x:c>
      <x:c r="L100" s="50" t="str">
        <x:v>Classify retention and access; prevent deletion under hold</x:v>
      </x:c>
      <x:c r="M100" s="50" t="str">
        <x:v>Screening; claims; accounting; HR</x:v>
      </x:c>
      <x:c r="N100" s="50" t="str">
        <x:v>Are old reports over-retained and current obligations under-recorded?</x:v>
      </x:c>
      <x:c r="O100" s="50" t="str">
        <x:v>O05;O08;O10;O14</x:v>
      </x:c>
      <x:c r="P100" s="50" t="str">
        <x:v>https://www.epa.gov/lead/real-estate-disclosures-about-potential-lead-hazards
https://www.nyc.gov/site/hpd/services-and-information/heat-and-hot-water-information.page
https://www.uscourts.gov/court-programs/bankruptcy/bankruptcy-basics/chapter-11-bankruptcy-basics
https://www.justice.gov/crt/fair-housing-act-1</x:v>
      </x:c>
      <x:c r="Q100" s="50" t="str">
        <x:v>Domain anchors support parts of the decision family. The decision taxonomy and automation hypotheses are original synthesis, not claims validated in full by each source.</x:v>
      </x:c>
      <x:c r="R100" s="50" t="str">
        <x:v>O05: Illustrative disclosure family; exemptions and renovation requirements need property-specific review
O08: Representative local rule; no generalization to other places
O10: Chapter 11 overview; particular court orders and other bankruptcy chapters differ
O14: Page updated 2023; does not establish current detailed HUD enforcement guidance or local protected categories</x:v>
      </x:c>
      <x:c r="S100" s="2"/>
    </x:row>
    <x:row r="101" ht="86" customHeight="1">
      <x:c r="A101" s="50" t="str">
        <x:v>D095</x:v>
      </x:c>
      <x:c r="B101" s="50" t="str">
        <x:v>Management-company people; systems; commercial health</x:v>
      </x:c>
      <x:c r="C101" s="50" t="str">
        <x:v>Management business; separate from property owner</x:v>
      </x:c>
      <x:c r="D101" s="50" t="str">
        <x:v>How should work be assigned across staff?</x:v>
      </x:c>
      <x:c r="E101" s="50" t="str">
        <x:v>New case; absence; backlog</x:v>
      </x:c>
      <x:c r="F101" s="50" t="str">
        <x:v>Skills; permissions; workload; site knowledge; deadline</x:v>
      </x:c>
      <x:c r="G101" s="50" t="str">
        <x:v>Assign; pool; specialist; rebalance; outsource</x:v>
      </x:c>
      <x:c r="H101" s="50" t="str">
        <x:v>PM/regional lead</x:v>
      </x:c>
      <x:c r="I101" s="50" t="str">
        <x:v>Team coordinator</x:v>
      </x:c>
      <x:c r="J101" s="50" t="str">
        <x:v>Owned work completed within capacity</x:v>
      </x:c>
      <x:c r="K101" s="50" t="str">
        <x:v>Role permissions; labor; continuity</x:v>
      </x:c>
      <x:c r="L101" s="50" t="str">
        <x:v>Workload-aware routing and escalation</x:v>
      </x:c>
      <x:c r="M101" s="50" t="str">
        <x:v>Staff capacity; risk; client scope</x:v>
      </x:c>
      <x:c r="N101" s="50" t="str">
        <x:v>Do titles or actual skills determine assignment?</x:v>
      </x:c>
      <x:c r="O101" s="50" t="str">
        <x:v>O01;O11</x:v>
      </x:c>
      <x:c r="P101" s="50" t="str">
        <x:v>https://www.dre.ca.gov/files/pdf/refbook/ref22.pdf
https://www.cslb.ca.gov/Consumers/Hire_A_Contractor/</x:v>
      </x:c>
      <x:c r="Q101" s="50" t="str">
        <x:v>Domain anchors support parts of the decision family. The decision taxonomy and automation hypotheses are original synthesis, not claims validated in full by each source.</x:v>
      </x:c>
      <x:c r="R101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101" s="2"/>
    </x:row>
    <x:row r="102" ht="86" customHeight="1">
      <x:c r="A102" s="50" t="str">
        <x:v>D096</x:v>
      </x:c>
      <x:c r="B102" s="50" t="str">
        <x:v>Management-company people; systems; commercial health</x:v>
      </x:c>
      <x:c r="C102" s="50" t="str">
        <x:v>Management business; separate from property owner</x:v>
      </x:c>
      <x:c r="D102" s="50" t="str">
        <x:v>What training or performance intervention is needed?</x:v>
      </x:c>
      <x:c r="E102" s="50" t="str">
        <x:v>Error; new hire; new duty; recurring delay</x:v>
      </x:c>
      <x:c r="F102" s="50" t="str">
        <x:v>Observed outcomes; workload; tools; policy clarity</x:v>
      </x:c>
      <x:c r="G102" s="50" t="str">
        <x:v>Train; clarify policy; fix tool; rebalance; discipline</x:v>
      </x:c>
      <x:c r="H102" s="50" t="str">
        <x:v>Manager and HR</x:v>
      </x:c>
      <x:c r="I102" s="50" t="str">
        <x:v>Supervisor</x:v>
      </x:c>
      <x:c r="J102" s="50" t="str">
        <x:v>Cause corrected rather than employee merely blamed</x:v>
      </x:c>
      <x:c r="K102" s="50" t="str">
        <x:v>Employment rules; privacy; fair treatment</x:v>
      </x:c>
      <x:c r="L102" s="50" t="str">
        <x:v>Detect repeated failure patterns; manager verifies cause</x:v>
      </x:c>
      <x:c r="M102" s="50" t="str">
        <x:v>Work audit; permissions; staffing</x:v>
      </x:c>
      <x:c r="N102" s="50" t="str">
        <x:v>Are errors competence problems or impossible process design?</x:v>
      </x:c>
      <x:c r="O102" s="50" t="str">
        <x:v>O01;O11</x:v>
      </x:c>
      <x:c r="P102" s="50" t="str">
        <x:v>https://www.dre.ca.gov/files/pdf/refbook/ref22.pdf
https://www.cslb.ca.gov/Consumers/Hire_A_Contractor/</x:v>
      </x:c>
      <x:c r="Q102" s="50" t="str">
        <x:v>Domain anchors support parts of the decision family. The decision taxonomy and automation hypotheses are original synthesis, not claims validated in full by each source.</x:v>
      </x:c>
      <x:c r="R102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102" s="2"/>
    </x:row>
    <x:row r="103" ht="86" customHeight="1">
      <x:c r="A103" s="50" t="str">
        <x:v>D097</x:v>
      </x:c>
      <x:c r="B103" s="50" t="str">
        <x:v>Management-company people; systems; commercial health</x:v>
      </x:c>
      <x:c r="C103" s="50" t="str">
        <x:v>Management business; separate from property owner</x:v>
      </x:c>
      <x:c r="D103" s="50" t="str">
        <x:v>Which tools and integrations should be adopted?</x:v>
      </x:c>
      <x:c r="E103" s="50" t="str">
        <x:v>Capacity need; replacement; new offer</x:v>
      </x:c>
      <x:c r="F103" s="50" t="str">
        <x:v>Job requirements; existing systems; access; cost; data; exit terms</x:v>
      </x:c>
      <x:c r="G103" s="50" t="str">
        <x:v>Configure existing; integrate; buy; build; service; do nothing</x:v>
      </x:c>
      <x:c r="H103" s="50" t="str">
        <x:v>Principal/IT with operations</x:v>
      </x:c>
      <x:c r="I103" s="50" t="str">
        <x:v>IT and vendor</x:v>
      </x:c>
      <x:c r="J103" s="50" t="str">
        <x:v>Net improvement in real operation</x:v>
      </x:c>
      <x:c r="K103" s="50" t="str">
        <x:v>Security; permissions; data portability; vendor terms</x:v>
      </x:c>
      <x:c r="L103" s="50" t="str">
        <x:v>Evaluate task fit; pilot against actual baseline</x:v>
      </x:c>
      <x:c r="M103" s="50" t="str">
        <x:v>Authority; workflow volume; system access</x:v>
      </x:c>
      <x:c r="N103" s="50" t="str">
        <x:v>Does tool reduce work or add another inbox?</x:v>
      </x:c>
      <x:c r="O103" s="50" t="str">
        <x:v>O01;O11</x:v>
      </x:c>
      <x:c r="P103" s="50" t="str">
        <x:v>https://www.dre.ca.gov/files/pdf/refbook/ref22.pdf
https://www.cslb.ca.gov/Consumers/Hire_A_Contractor/</x:v>
      </x:c>
      <x:c r="Q103" s="50" t="str">
        <x:v>Domain anchors support parts of the decision family. The decision taxonomy and automation hypotheses are original synthesis, not claims validated in full by each source.</x:v>
      </x:c>
      <x:c r="R103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103" s="2"/>
    </x:row>
    <x:row r="104" ht="86" customHeight="1">
      <x:c r="A104" s="50" t="str">
        <x:v>D098</x:v>
      </x:c>
      <x:c r="B104" s="50" t="str">
        <x:v>Management-company people; systems; commercial health</x:v>
      </x:c>
      <x:c r="C104" s="50" t="str">
        <x:v>Management business; separate from property owner</x:v>
      </x:c>
      <x:c r="D104" s="50" t="str">
        <x:v>What access should staff; vendor; or AI receive?</x:v>
      </x:c>
      <x:c r="E104" s="50" t="str">
        <x:v>Onboarding; role change; offboarding</x:v>
      </x:c>
      <x:c r="F104" s="50" t="str">
        <x:v>Task; property scope; permission; data sensitivity</x:v>
      </x:c>
      <x:c r="G104" s="50" t="str">
        <x:v>Read; draft; limited write; approve; revoke</x:v>
      </x:c>
      <x:c r="H104" s="50" t="str">
        <x:v>System/data owner</x:v>
      </x:c>
      <x:c r="I104" s="50" t="str">
        <x:v>IT administrator</x:v>
      </x:c>
      <x:c r="J104" s="50" t="str">
        <x:v>Necessary capability without unnecessary exposure</x:v>
      </x:c>
      <x:c r="K104" s="50" t="str">
        <x:v>Least privilege; financial segregation; auditability</x:v>
      </x:c>
      <x:c r="L104" s="50" t="str">
        <x:v>Role-scoped setup; expiring rights; explicit action limits</x:v>
      </x:c>
      <x:c r="M104" s="50" t="str">
        <x:v>Employment status; client authority</x:v>
      </x:c>
      <x:c r="N104" s="50" t="str">
        <x:v>Can permissions be limited by property and action?</x:v>
      </x:c>
      <x:c r="O104" s="50" t="str">
        <x:v>O01;O11</x:v>
      </x:c>
      <x:c r="P104" s="50" t="str">
        <x:v>https://www.dre.ca.gov/files/pdf/refbook/ref22.pdf
https://www.cslb.ca.gov/Consumers/Hire_A_Contractor/</x:v>
      </x:c>
      <x:c r="Q104" s="50" t="str">
        <x:v>Domain anchors support parts of the decision family. The decision taxonomy and automation hypotheses are original synthesis, not claims validated in full by each source.</x:v>
      </x:c>
      <x:c r="R104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104" s="2"/>
    </x:row>
    <x:row r="105" ht="86" customHeight="1">
      <x:c r="A105" s="50" t="str">
        <x:v>D099</x:v>
      </x:c>
      <x:c r="B105" s="50" t="str">
        <x:v>Management-company people; systems; commercial health</x:v>
      </x:c>
      <x:c r="C105" s="50" t="str">
        <x:v>Management business; separate from property owner</x:v>
      </x:c>
      <x:c r="D105" s="50" t="str">
        <x:v>What should happen during a system outage or cyber incident?</x:v>
      </x:c>
      <x:c r="E105" s="50" t="str">
        <x:v>Unavailable software; suspected compromise</x:v>
      </x:c>
      <x:c r="F105" s="50" t="str">
        <x:v>Affected functions; backups; contacts; transactions; exposure</x:v>
      </x:c>
      <x:c r="G105" s="50" t="str">
        <x:v>Fallback; stop risky writes; restore; notify; reconcile</x:v>
      </x:c>
      <x:c r="H105" s="50" t="str">
        <x:v>Incident lead/principal</x:v>
      </x:c>
      <x:c r="I105" s="50" t="str">
        <x:v>IT; operations; vendors</x:v>
      </x:c>
      <x:c r="J105" s="50" t="str">
        <x:v>Service continuity and correct recovery</x:v>
      </x:c>
      <x:c r="K105" s="50" t="str">
        <x:v>Privacy; banking risk; legal notification</x:v>
      </x:c>
      <x:c r="L105" s="50" t="str">
        <x:v>Provide offline critical contacts and reconciliation checklist</x:v>
      </x:c>
      <x:c r="M105" s="50" t="str">
        <x:v>Banking; access; emergency response</x:v>
      </x:c>
      <x:c r="N105" s="50" t="str">
        <x:v>Can critical work continue without PMS login?</x:v>
      </x:c>
      <x:c r="O105" s="50" t="str">
        <x:v>O01;O11</x:v>
      </x:c>
      <x:c r="P105" s="50" t="str">
        <x:v>https://www.dre.ca.gov/files/pdf/refbook/ref22.pdf
https://www.cslb.ca.gov/Consumers/Hire_A_Contractor/</x:v>
      </x:c>
      <x:c r="Q105" s="50" t="str">
        <x:v>Domain anchors support parts of the decision family. The decision taxonomy and automation hypotheses are original synthesis, not claims validated in full by each source.</x:v>
      </x:c>
      <x:c r="R105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105" s="2"/>
    </x:row>
    <x:row r="106" ht="86" customHeight="1">
      <x:c r="A106" s="50" t="str">
        <x:v>D100</x:v>
      </x:c>
      <x:c r="B106" s="50" t="str">
        <x:v>Management-company people; systems; commercial health</x:v>
      </x:c>
      <x:c r="C106" s="50" t="str">
        <x:v>Management business; separate from property owner</x:v>
      </x:c>
      <x:c r="D106" s="50" t="str">
        <x:v>Which clients and services should the company grow?</x:v>
      </x:c>
      <x:c r="E106" s="50" t="str">
        <x:v>Strategic review</x:v>
      </x:c>
      <x:c r="F106" s="50" t="str">
        <x:v>Actual margins; workload; geography; retention; owner demand</x:v>
      </x:c>
      <x:c r="G106" s="50" t="str">
        <x:v>Expand niche; deepen service; raise price; acquire; stop offering</x:v>
      </x:c>
      <x:c r="H106" s="50" t="str">
        <x:v>Management principal</x:v>
      </x:c>
      <x:c r="I106" s="50" t="str">
        <x:v>Sales and operations</x:v>
      </x:c>
      <x:c r="J106" s="50" t="str">
        <x:v>Profitable service the company can deliver</x:v>
      </x:c>
      <x:c r="K106" s="50" t="str">
        <x:v>Capacity; conflicts; client concentration; licensing</x:v>
      </x:c>
      <x:c r="L106" s="50" t="str">
        <x:v>Analyze contribution after real service cost</x:v>
      </x:c>
      <x:c r="M106" s="50" t="str">
        <x:v>Mandate pricing; staffing; systems</x:v>
      </x:c>
      <x:c r="N106" s="50" t="str">
        <x:v>Are revenue and doors masking high cost-to-serve?</x:v>
      </x:c>
      <x:c r="O106" s="50" t="str">
        <x:v>O01;O11</x:v>
      </x:c>
      <x:c r="P106" s="50" t="str">
        <x:v>https://www.dre.ca.gov/files/pdf/refbook/ref22.pdf
https://www.cslb.ca.gov/Consumers/Hire_A_Contractor/</x:v>
      </x:c>
      <x:c r="Q106" s="50" t="str">
        <x:v>Domain anchors support parts of the decision family. The decision taxonomy and automation hypotheses are original synthesis, not claims validated in full by each source.</x:v>
      </x:c>
      <x:c r="R106" s="50" t="str">
        <x:v>O01: Background scope anchor; not current fee benchmark or complete legal implementation; decision taxonomy is original synthesis
O11: California-specific; performance optimization in inventory is an original hypothesis</x:v>
      </x:c>
      <x:c r="S106" s="2"/>
    </x:row>
    <x:row r="107" ht="86" customHeight="1">
      <x:c r="A107" s="50" t="str">
        <x:v>D101</x:v>
      </x:c>
      <x:c r="B107" s="50" t="str">
        <x:v>Asset sale; refinancing; redevelopment; exit</x:v>
      </x:c>
      <x:c r="C107" s="50" t="str">
        <x:v>PM contributes; owner/AM decides investment</x:v>
      </x:c>
      <x:c r="D107" s="50" t="str">
        <x:v>What operational information supports acquisition; sale; or refinancing?</x:v>
      </x:c>
      <x:c r="E107" s="50" t="str">
        <x:v>Transaction process</x:v>
      </x:c>
      <x:c r="F107" s="50" t="str">
        <x:v>Leases; financials; condition; disputes; contracts; deposits</x:v>
      </x:c>
      <x:c r="G107" s="50" t="str">
        <x:v>Provide verified records; correct inconsistency; flag unknown</x:v>
      </x:c>
      <x:c r="H107" s="50" t="str">
        <x:v>Owner/AM; PM for operational accuracy</x:v>
      </x:c>
      <x:c r="I107" s="50" t="str">
        <x:v>PM; finance; counsel; broker</x:v>
      </x:c>
      <x:c r="J107" s="50" t="str">
        <x:v>Buyer/lender receives reliable operating facts</x:v>
      </x:c>
      <x:c r="K107" s="50" t="str">
        <x:v>Confidentiality; representations; diligence scope</x:v>
      </x:c>
      <x:c r="L107" s="50" t="str">
        <x:v>Reconcile rent roll and obligations; flag mismatches</x:v>
      </x:c>
      <x:c r="M107" s="50" t="str">
        <x:v>Closed books; physical backlog; legal matters</x:v>
      </x:c>
      <x:c r="N107" s="50" t="str">
        <x:v>Which diligence adjustments are preventable record failures?</x:v>
      </x:c>
      <x:c r="O107" s="50" t="str">
        <x:v>O01;O10</x:v>
      </x:c>
      <x:c r="P107" s="50" t="str">
        <x:v>https://www.dre.ca.gov/files/pdf/refbook/ref22.pdf
https://www.uscourts.gov/court-programs/bankruptcy/bankruptcy-basics/chapter-11-bankruptcy-basics</x:v>
      </x:c>
      <x:c r="Q107" s="50" t="str">
        <x:v>Domain anchors support parts of the decision family. The decision taxonomy and automation hypotheses are original synthesis, not claims validated in full by each source.</x:v>
      </x:c>
      <x:c r="R107" s="50" t="str">
        <x:v>O01: Background scope anchor; not current fee benchmark or complete legal implementation; decision taxonomy is original synthesis
O10: Chapter 11 overview; particular court orders and other bankruptcy chapters differ</x:v>
      </x:c>
      <x:c r="S107" s="2"/>
    </x:row>
    <x:row r="108" ht="86" customHeight="1">
      <x:c r="A108" s="50" t="str">
        <x:v>D102</x:v>
      </x:c>
      <x:c r="B108" s="50" t="str">
        <x:v>Asset sale; refinancing; redevelopment; exit</x:v>
      </x:c>
      <x:c r="C108" s="50" t="str">
        <x:v>PM contributes; owner/AM decides investment</x:v>
      </x:c>
      <x:c r="D108" s="50" t="str">
        <x:v>How should lender covenants; inspections; or reserve requests be handled?</x:v>
      </x:c>
      <x:c r="E108" s="50" t="str">
        <x:v>Reporting date; loan event; property finding</x:v>
      </x:c>
      <x:c r="F108" s="50" t="str">
        <x:v>Loan terms; required report; cash controls; project completion</x:v>
      </x:c>
      <x:c r="G108" s="50" t="str">
        <x:v>Submit; cure; request waiver; escalate; revise distributions</x:v>
      </x:c>
      <x:c r="H108" s="50" t="str">
        <x:v>Owner/AM; servicer/lender for consent</x:v>
      </x:c>
      <x:c r="I108" s="50" t="str">
        <x:v>Finance and PM</x:v>
      </x:c>
      <x:c r="J108" s="50" t="str">
        <x:v>Maintain financing and funded operations</x:v>
      </x:c>
      <x:c r="K108" s="50" t="str">
        <x:v>Covenants; lender approval; restricted accounts</x:v>
      </x:c>
      <x:c r="L108" s="50" t="str">
        <x:v>Track obligations and prepare submissions</x:v>
      </x:c>
      <x:c r="M108" s="50" t="str">
        <x:v>Financial close; inspections; capital</x:v>
      </x:c>
      <x:c r="N108" s="50" t="str">
        <x:v>Does PM know which actions need lender consent?</x:v>
      </x:c>
      <x:c r="O108" s="50" t="str">
        <x:v>O01;O10</x:v>
      </x:c>
      <x:c r="P108" s="50" t="str">
        <x:v>https://www.dre.ca.gov/files/pdf/refbook/ref22.pdf
https://www.uscourts.gov/court-programs/bankruptcy/bankruptcy-basics/chapter-11-bankruptcy-basics</x:v>
      </x:c>
      <x:c r="Q108" s="50" t="str">
        <x:v>Domain anchors support parts of the decision family. The decision taxonomy and automation hypotheses are original synthesis, not claims validated in full by each source.</x:v>
      </x:c>
      <x:c r="R108" s="50" t="str">
        <x:v>O01: Background scope anchor; not current fee benchmark or complete legal implementation; decision taxonomy is original synthesis
O10: Chapter 11 overview; particular court orders and other bankruptcy chapters differ</x:v>
      </x:c>
      <x:c r="S108" s="2"/>
    </x:row>
    <x:row r="109" ht="86" customHeight="1">
      <x:c r="A109" s="50" t="str">
        <x:v>D103</x:v>
      </x:c>
      <x:c r="B109" s="50" t="str">
        <x:v>Asset sale; refinancing; redevelopment; exit</x:v>
      </x:c>
      <x:c r="C109" s="50" t="str">
        <x:v>PM contributes; owner/AM decides investment</x:v>
      </x:c>
      <x:c r="D109" s="50" t="str">
        <x:v>What operating plan supports redevelopment or change of use?</x:v>
      </x:c>
      <x:c r="E109" s="50" t="str">
        <x:v>Owner strategy change</x:v>
      </x:c>
      <x:c r="F109" s="50" t="str">
        <x:v>Approvals; leases; relocation obligations; works; financing</x:v>
      </x:c>
      <x:c r="G109" s="50" t="str">
        <x:v>Phase; vacant conversion; renew selectively; defer</x:v>
      </x:c>
      <x:c r="H109" s="50" t="str">
        <x:v>Owner/AM with counsel and planners</x:v>
      </x:c>
      <x:c r="I109" s="50" t="str">
        <x:v>Development team and PM</x:v>
      </x:c>
      <x:c r="J109" s="50" t="str">
        <x:v>Feasible transition with lawful occupancy treatment</x:v>
      </x:c>
      <x:c r="K109" s="50" t="str">
        <x:v>Zoning; lease rights; displacement; permits</x:v>
      </x:c>
      <x:c r="L109" s="50" t="str">
        <x:v>Model schedule dependencies and tenant impacts</x:v>
      </x:c>
      <x:c r="M109" s="50" t="str">
        <x:v>Lease expiry; capital; funding; authority</x:v>
      </x:c>
      <x:c r="N109" s="50" t="str">
        <x:v>What occupancy constraints invalidate the owner's schedule?</x:v>
      </x:c>
      <x:c r="O109" s="50" t="str">
        <x:v>O01;O10</x:v>
      </x:c>
      <x:c r="P109" s="50" t="str">
        <x:v>https://www.dre.ca.gov/files/pdf/refbook/ref22.pdf
https://www.uscourts.gov/court-programs/bankruptcy/bankruptcy-basics/chapter-11-bankruptcy-basics</x:v>
      </x:c>
      <x:c r="Q109" s="50" t="str">
        <x:v>Domain anchors support parts of the decision family. The decision taxonomy and automation hypotheses are original synthesis, not claims validated in full by each source.</x:v>
      </x:c>
      <x:c r="R109" s="50" t="str">
        <x:v>O01: Background scope anchor; not current fee benchmark or complete legal implementation; decision taxonomy is original synthesis
O10: Chapter 11 overview; particular court orders and other bankruptcy chapters differ</x:v>
      </x:c>
      <x:c r="S109" s="2"/>
    </x:row>
    <x:row r="110" ht="86" customHeight="1">
      <x:c r="A110" s="50" t="str">
        <x:v>D104</x:v>
      </x:c>
      <x:c r="B110" s="50" t="str">
        <x:v>Asset sale; refinancing; redevelopment; exit</x:v>
      </x:c>
      <x:c r="C110" s="50" t="str">
        <x:v>PM contributes; owner/AM decides investment</x:v>
      </x:c>
      <x:c r="D110" s="50" t="str">
        <x:v>Is handover complete enough to end responsibility?</x:v>
      </x:c>
      <x:c r="E110" s="50" t="str">
        <x:v>Sale; manager change; closure</x:v>
      </x:c>
      <x:c r="F110" s="50" t="str">
        <x:v>Funds; records; keys; open jobs; notices; contracts; claims</x:v>
      </x:c>
      <x:c r="G110" s="50" t="str">
        <x:v>Transfer; correct gaps; retain defined surviving duty; escalate</x:v>
      </x:c>
      <x:c r="H110" s="50" t="str">
        <x:v>Outgoing and incoming authorized parties</x:v>
      </x:c>
      <x:c r="I110" s="50" t="str">
        <x:v>Transition lead; finance; counsel</x:v>
      </x:c>
      <x:c r="J110" s="50" t="str">
        <x:v>No orphaned money; work; access; or duty</x:v>
      </x:c>
      <x:c r="K110" s="50" t="str">
        <x:v>Retention; privacy; assignments; funds; continuity</x:v>
      </x:c>
      <x:c r="L110" s="50" t="str">
        <x:v>Reconcile transfer manifests and obtain receipt</x:v>
      </x:c>
      <x:c r="M110" s="50" t="str">
        <x:v>Takeover; final close; terminated authority</x:v>
      </x:c>
      <x:c r="N110" s="50" t="str">
        <x:v>Which obligations continue after nominal exit date?</x:v>
      </x:c>
      <x:c r="O110" s="50" t="str">
        <x:v>O01;O10</x:v>
      </x:c>
      <x:c r="P110" s="50" t="str">
        <x:v>https://www.dre.ca.gov/files/pdf/refbook/ref22.pdf
https://www.uscourts.gov/court-programs/bankruptcy/bankruptcy-basics/chapter-11-bankruptcy-basics</x:v>
      </x:c>
      <x:c r="Q110" s="50" t="str">
        <x:v>Domain anchors support parts of the decision family. The decision taxonomy and automation hypotheses are original synthesis, not claims validated in full by each source.</x:v>
      </x:c>
      <x:c r="R110" s="50" t="str">
        <x:v>O01: Background scope anchor; not current fee benchmark or complete legal implementation; decision taxonomy is original synthesis
O10: Chapter 11 overview; particular court orders and other bankruptcy chapters differ</x:v>
      </x:c>
      <x:c r="S110" s="2"/>
    </x:row>
    <x:row r="111" ht="125" customHeight="1">
      <x:c r="A111" s="50" t="str">
        <x:v>D105</x:v>
      </x:c>
      <x:c r="B111" s="50" t="str">
        <x:v>Segment-specific additional decisions</x:v>
      </x:c>
      <x:c r="C111" s="50" t="str">
        <x:v>HOA; commercial; student; affordable; hospitality; specialized</x:v>
      </x:c>
      <x:c r="D111" s="50" t="str">
        <x:v>What board or member approval is needed?</x:v>
      </x:c>
      <x:c r="E111" s="50" t="str">
        <x:v>Association expenditure; policy; election; dispute</x:v>
      </x:c>
      <x:c r="F111" s="50" t="str">
        <x:v>Governing documents; law; quorum; budget; conflicts</x:v>
      </x:c>
      <x:c r="G111" s="50" t="str">
        <x:v>Board decision; member vote; delegated act; defer</x:v>
      </x:c>
      <x:c r="H111" s="50" t="str">
        <x:v>Board/members as required</x:v>
      </x:c>
      <x:c r="I111" s="50" t="str">
        <x:v>Association manager and counsel</x:v>
      </x:c>
      <x:c r="J111" s="50" t="str">
        <x:v>Valid governance and executable instruction</x:v>
      </x:c>
      <x:c r="K111" s="50" t="str">
        <x:v>Meeting notice; records; conflict; voting rules</x:v>
      </x:c>
      <x:c r="L111" s="50" t="str">
        <x:v>Prepare agendas and track approvals; cannot invent board assent</x:v>
      </x:c>
      <x:c r="M111" s="50" t="str">
        <x:v>Mandate; budget; reserve plan</x:v>
      </x:c>
      <x:c r="N111" s="50" t="str">
        <x:v>Which decisions are routinely treated as manager authority incorrectly?</x:v>
      </x:c>
      <x:c r="O111" s="50" t="str">
        <x:v>O07;O12;O15</x:v>
      </x:c>
      <x:c r="P111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1" s="50" t="str">
        <x:v>Domain anchors support parts of the decision family. The decision taxonomy and automation hypotheses are original synthesis, not claims validated in full by each source.</x:v>
      </x:c>
      <x:c r="R111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1" s="2"/>
    </x:row>
    <x:row r="112" ht="125" customHeight="1">
      <x:c r="A112" s="50" t="str">
        <x:v>D106</x:v>
      </x:c>
      <x:c r="B112" s="50" t="str">
        <x:v>Segment-specific additional decisions</x:v>
      </x:c>
      <x:c r="C112" s="50" t="str">
        <x:v>HOA; commercial; student; affordable; hospitality; specialized</x:v>
      </x:c>
      <x:c r="D112" s="50" t="str">
        <x:v>How should common-property reserves and assessments be funded?</x:v>
      </x:c>
      <x:c r="E112" s="50" t="str">
        <x:v>Reserve study or budget</x:v>
      </x:c>
      <x:c r="F112" s="50" t="str">
        <x:v>Physical condition; useful lives; costs; funds; owner capacity</x:v>
      </x:c>
      <x:c r="G112" s="50" t="str">
        <x:v>Regular assessment; special assessment; loan; staged work</x:v>
      </x:c>
      <x:c r="H112" s="50" t="str">
        <x:v>Board/members under governing law</x:v>
      </x:c>
      <x:c r="I112" s="50" t="str">
        <x:v>Manager; engineer; finance</x:v>
      </x:c>
      <x:c r="J112" s="50" t="str">
        <x:v>Funded maintenance without unmanaged deterioration</x:v>
      </x:c>
      <x:c r="K112" s="50" t="str">
        <x:v>Statutory reserve requirements; study competence; voting</x:v>
      </x:c>
      <x:c r="L112" s="50" t="str">
        <x:v>Model funding alternatives from qualified assessment</x:v>
      </x:c>
      <x:c r="M112" s="50" t="str">
        <x:v>Capital plan; delinquencies; insurance</x:v>
      </x:c>
      <x:c r="N112" s="50" t="str">
        <x:v>Can owners afford the required physical work?</x:v>
      </x:c>
      <x:c r="O112" s="50" t="str">
        <x:v>O07;O12;O15</x:v>
      </x:c>
      <x:c r="P112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2" s="50" t="str">
        <x:v>Domain anchors support parts of the decision family. The decision taxonomy and automation hypotheses are original synthesis, not claims validated in full by each source.</x:v>
      </x:c>
      <x:c r="R112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2" s="2"/>
    </x:row>
    <x:row r="113" ht="125" customHeight="1">
      <x:c r="A113" s="50" t="str">
        <x:v>D107</x:v>
      </x:c>
      <x:c r="B113" s="50" t="str">
        <x:v>Segment-specific additional decisions</x:v>
      </x:c>
      <x:c r="C113" s="50" t="str">
        <x:v>HOA; commercial; student; affordable; hospitality; specialized</x:v>
      </x:c>
      <x:c r="D113" s="50" t="str">
        <x:v>What association rule or architectural action is appropriate?</x:v>
      </x:c>
      <x:c r="E113" s="50" t="str">
        <x:v>Violation report or alteration request</x:v>
      </x:c>
      <x:c r="F113" s="50" t="str">
        <x:v>Declaration; rules; design; facts; past decisions</x:v>
      </x:c>
      <x:c r="G113" s="50" t="str">
        <x:v>Approve; condition; ask revision; hearing; lawful sanction</x:v>
      </x:c>
      <x:c r="H113" s="50" t="str">
        <x:v>Board/committee; delegated manager</x:v>
      </x:c>
      <x:c r="I113" s="50" t="str">
        <x:v>Community manager</x:v>
      </x:c>
      <x:c r="J113" s="50" t="str">
        <x:v>Consistent lawful shared-property decisions</x:v>
      </x:c>
      <x:c r="K113" s="50" t="str">
        <x:v>Due process; disability; selective enforcement; scope</x:v>
      </x:c>
      <x:c r="L113" s="50" t="str">
        <x:v>Apply explicit criteria and prepare comparison; preserve appeal</x:v>
      </x:c>
      <x:c r="M113" s="50" t="str">
        <x:v>Resident communications; legal review</x:v>
      </x:c>
      <x:c r="N113" s="50" t="str">
        <x:v>Are standards clear enough for consistent outcomes?</x:v>
      </x:c>
      <x:c r="O113" s="50" t="str">
        <x:v>O07;O12;O15</x:v>
      </x:c>
      <x:c r="P113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3" s="50" t="str">
        <x:v>Domain anchors support parts of the decision family. The decision taxonomy and automation hypotheses are original synthesis, not claims validated in full by each source.</x:v>
      </x:c>
      <x:c r="R113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3" s="2"/>
    </x:row>
    <x:row r="114" ht="125" customHeight="1">
      <x:c r="A114" s="50" t="str">
        <x:v>D108</x:v>
      </x:c>
      <x:c r="B114" s="50" t="str">
        <x:v>Segment-specific additional decisions</x:v>
      </x:c>
      <x:c r="C114" s="50" t="str">
        <x:v>HOA; commercial; student; affordable; hospitality; specialized</x:v>
      </x:c>
      <x:c r="D114" s="50" t="str">
        <x:v>What commercial operating expense is recoverable from whom?</x:v>
      </x:c>
      <x:c r="E114" s="50" t="str">
        <x:v>Budget; reconciliation; lease audit</x:v>
      </x:c>
      <x:c r="F114" s="50" t="str">
        <x:v>Executed lease; area; caps; exclusions; occupancy; invoices</x:v>
      </x:c>
      <x:c r="G114" s="50" t="str">
        <x:v>Recover; landlord pays; allocate; reconcile; dispute</x:v>
      </x:c>
      <x:c r="H114" s="50" t="str">
        <x:v>Lease-defined rights; PM/controller administer</x:v>
      </x:c>
      <x:c r="I114" s="50" t="str">
        <x:v>Lease administrator and accountant</x:v>
      </x:c>
      <x:c r="J114" s="50" t="str">
        <x:v>Correct lease-based recoveries</x:v>
      </x:c>
      <x:c r="K114" s="50" t="str">
        <x:v>Lease differs by tenant; no assumed universal pro rata rule</x:v>
      </x:c>
      <x:c r="L114" s="50" t="str">
        <x:v>Extract verified terms and calculate; review ambiguities</x:v>
      </x:c>
      <x:c r="M114" s="50" t="str">
        <x:v>AP coding; area; lease changes</x:v>
      </x:c>
      <x:c r="N114" s="50" t="str">
        <x:v>What recoveries are lost through wrong lease interpretation?</x:v>
      </x:c>
      <x:c r="O114" s="50" t="str">
        <x:v>O07;O12;O15</x:v>
      </x:c>
      <x:c r="P114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4" s="50" t="str">
        <x:v>Domain anchors support parts of the decision family. The decision taxonomy and automation hypotheses are original synthesis, not claims validated in full by each source.</x:v>
      </x:c>
      <x:c r="R114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4" s="2"/>
    </x:row>
    <x:row r="115" ht="125" customHeight="1">
      <x:c r="A115" s="50" t="str">
        <x:v>D109</x:v>
      </x:c>
      <x:c r="B115" s="50" t="str">
        <x:v>Segment-specific additional decisions</x:v>
      </x:c>
      <x:c r="C115" s="50" t="str">
        <x:v>HOA; commercial; student; affordable; hospitality; specialized</x:v>
      </x:c>
      <x:c r="D115" s="50" t="str">
        <x:v>What happens when a commercial option or special clause triggers?</x:v>
      </x:c>
      <x:c r="E115" s="50" t="str">
        <x:v>Expiry; sales threshold; anchor closure; notice</x:v>
      </x:c>
      <x:c r="F115" s="50" t="str">
        <x:v>Option; break; exclusivity; cotenancy; percentage rent; guaranty</x:v>
      </x:c>
      <x:c r="G115" s="50" t="str">
        <x:v>Exercise/acknowledge; adjust; negotiate; dispute; counsel</x:v>
      </x:c>
      <x:c r="H115" s="50" t="str">
        <x:v>Tenant/owner as contract provides</x:v>
      </x:c>
      <x:c r="I115" s="50" t="str">
        <x:v>Lease administrator; PM; counsel</x:v>
      </x:c>
      <x:c r="J115" s="50" t="str">
        <x:v>Rights exercised and economics adjusted correctly</x:v>
      </x:c>
      <x:c r="K115" s="50" t="str">
        <x:v>Exact trigger; service; authority; confidential sales</x:v>
      </x:c>
      <x:c r="L115" s="50" t="str">
        <x:v>Monitor measurable triggers; alert early; validate legal effect</x:v>
      </x:c>
      <x:c r="M115" s="50" t="str">
        <x:v>Tenant sales; occupancy; lease amendments</x:v>
      </x:c>
      <x:c r="N115" s="50" t="str">
        <x:v>Are contingent clauses monitored after lease signing?</x:v>
      </x:c>
      <x:c r="O115" s="50" t="str">
        <x:v>O07;O12;O15</x:v>
      </x:c>
      <x:c r="P115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5" s="50" t="str">
        <x:v>Domain anchors support parts of the decision family. The decision taxonomy and automation hypotheses are original synthesis, not claims validated in full by each source.</x:v>
      </x:c>
      <x:c r="R115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5" s="2"/>
    </x:row>
    <x:row r="116" ht="125" customHeight="1">
      <x:c r="A116" s="50" t="str">
        <x:v>D110</x:v>
      </x:c>
      <x:c r="B116" s="50" t="str">
        <x:v>Segment-specific additional decisions</x:v>
      </x:c>
      <x:c r="C116" s="50" t="str">
        <x:v>HOA; commercial; student; affordable; hospitality; specialized</x:v>
      </x:c>
      <x:c r="D116" s="50" t="str">
        <x:v>How should commercial fit-out and occupancy proceed?</x:v>
      </x:c>
      <x:c r="E116" s="50" t="str">
        <x:v>New tenant or expansion</x:v>
      </x:c>
      <x:c r="F116" s="50" t="str">
        <x:v>Lease delivery standard; design; permits; work rules; allowances</x:v>
      </x:c>
      <x:c r="G116" s="50" t="str">
        <x:v>Approve; revise; phase; release allowance; delay possession</x:v>
      </x:c>
      <x:c r="H116" s="50" t="str">
        <x:v>Owner/PM within lease; building authority for permits</x:v>
      </x:c>
      <x:c r="I116" s="50" t="str">
        <x:v>Project manager; tenant contractor; inspector</x:v>
      </x:c>
      <x:c r="J116" s="50" t="str">
        <x:v>Usable compliant space and correct commencement</x:v>
      </x:c>
      <x:c r="K116" s="50" t="str">
        <x:v>Landlord/tenant work split; insurance; lien; business interruption</x:v>
      </x:c>
      <x:c r="L116" s="50" t="str">
        <x:v>Coordinate schedule and reconcile allowance milestones</x:v>
      </x:c>
      <x:c r="M116" s="50" t="str">
        <x:v>Base-building readiness; lease commencement; access</x:v>
      </x:c>
      <x:c r="N116" s="50" t="str">
        <x:v>Does legal commencement match delivered space?</x:v>
      </x:c>
      <x:c r="O116" s="50" t="str">
        <x:v>O07;O12;O15</x:v>
      </x:c>
      <x:c r="P116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6" s="50" t="str">
        <x:v>Domain anchors support parts of the decision family. The decision taxonomy and automation hypotheses are original synthesis, not claims validated in full by each source.</x:v>
      </x:c>
      <x:c r="R116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6" s="2"/>
    </x:row>
    <x:row r="117" ht="125" customHeight="1">
      <x:c r="A117" s="50" t="str">
        <x:v>D111</x:v>
      </x:c>
      <x:c r="B117" s="50" t="str">
        <x:v>Segment-specific additional decisions</x:v>
      </x:c>
      <x:c r="C117" s="50" t="str">
        <x:v>HOA; commercial; student; affordable; hospitality; specialized</x:v>
      </x:c>
      <x:c r="D117" s="50" t="str">
        <x:v>How should retail/industrial/office service differ?</x:v>
      </x:c>
      <x:c r="E117" s="50" t="str">
        <x:v>Operating change or tenant request</x:v>
      </x:c>
      <x:c r="F117" s="50" t="str">
        <x:v>Business hours; footfall; loading; equipment; security; use</x:v>
      </x:c>
      <x:c r="G117" s="50" t="str">
        <x:v>Alter service; meter separately; schedule shutdown; prohibit unsafe use</x:v>
      </x:c>
      <x:c r="H117" s="50" t="str">
        <x:v>PM within lease; specialist/authority where required</x:v>
      </x:c>
      <x:c r="I117" s="50" t="str">
        <x:v>Building engineer and tenant operations</x:v>
      </x:c>
      <x:c r="J117" s="50" t="str">
        <x:v>Property supports business use without conflicts</x:v>
      </x:c>
      <x:c r="K117" s="50" t="str">
        <x:v>Permitted use; fire; environmental; access; neighboring tenants</x:v>
      </x:c>
      <x:c r="L117" s="50" t="str">
        <x:v>Model shared-resource scheduling and affected parties</x:v>
      </x:c>
      <x:c r="M117" s="50" t="str">
        <x:v>Lease; equipment capacity; utilities</x:v>
      </x:c>
      <x:c r="N117" s="50" t="str">
        <x:v>Which tenant business constraints make generic scheduling fail?</x:v>
      </x:c>
      <x:c r="O117" s="50" t="str">
        <x:v>O07;O12;O15</x:v>
      </x:c>
      <x:c r="P117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7" s="50" t="str">
        <x:v>Domain anchors support parts of the decision family. The decision taxonomy and automation hypotheses are original synthesis, not claims validated in full by each source.</x:v>
      </x:c>
      <x:c r="R117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7" s="2"/>
    </x:row>
    <x:row r="118" ht="125" customHeight="1">
      <x:c r="A118" s="50" t="str">
        <x:v>D112</x:v>
      </x:c>
      <x:c r="B118" s="50" t="str">
        <x:v>Segment-specific additional decisions</x:v>
      </x:c>
      <x:c r="C118" s="50" t="str">
        <x:v>HOA; commercial; student; affordable; hospitality; specialized</x:v>
      </x:c>
      <x:c r="D118" s="50" t="str">
        <x:v>How should synchronized student turns and bed allocation run?</x:v>
      </x:c>
      <x:c r="E118" s="50" t="str">
        <x:v>Academic cycle or roommate change</x:v>
      </x:c>
      <x:c r="F118" s="50" t="str">
        <x:v>Bed leases; guarantors; calendars; inventory; staff capacity</x:v>
      </x:c>
      <x:c r="G118" s="50" t="str">
        <x:v>Preassign; stagger; temporary placement; reassign; contract change</x:v>
      </x:c>
      <x:c r="H118" s="50" t="str">
        <x:v>Operator under housing rules</x:v>
      </x:c>
      <x:c r="I118" s="50" t="str">
        <x:v>Leasing; turn crews; resident-life staff</x:v>
      </x:c>
      <x:c r="J118" s="50" t="str">
        <x:v>Beds ready on concentrated move-in dates</x:v>
      </x:c>
      <x:c r="K118" s="50" t="str">
        <x:v>Individual lease; safeguarding; guaranty; fair treatment</x:v>
      </x:c>
      <x:c r="L118" s="50" t="str">
        <x:v>Optimize bed/room allocation and critical-path turn schedule</x:v>
      </x:c>
      <x:c r="M118" s="50" t="str">
        <x:v>Turn capacity; applicant eligibility; roommate agreements</x:v>
      </x:c>
      <x:c r="N118" s="50" t="str">
        <x:v>What fails when hundreds of moves occur in one week?</x:v>
      </x:c>
      <x:c r="O118" s="50" t="str">
        <x:v>O07;O12;O15</x:v>
      </x:c>
      <x:c r="P118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8" s="50" t="str">
        <x:v>Domain anchors support parts of the decision family. The decision taxonomy and automation hypotheses are original synthesis, not claims validated in full by each source.</x:v>
      </x:c>
      <x:c r="R118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8" s="2"/>
    </x:row>
    <x:row r="119" ht="125" customHeight="1">
      <x:c r="A119" s="50" t="str">
        <x:v>D113</x:v>
      </x:c>
      <x:c r="B119" s="50" t="str">
        <x:v>Segment-specific additional decisions</x:v>
      </x:c>
      <x:c r="C119" s="50" t="str">
        <x:v>HOA; commercial; student; affordable; hospitality; specialized</x:v>
      </x:c>
      <x:c r="D119" s="50" t="str">
        <x:v>What recertification; subsidy change; or inspection correction is due?</x:v>
      </x:c>
      <x:c r="E119" s="50" t="str">
        <x:v>Program anniversary; household change; agency notice</x:v>
      </x:c>
      <x:c r="F119" s="50" t="str">
        <x:v>Specific program; income; household; effective rules; inspections</x:v>
      </x:c>
      <x:c r="G119" s="50" t="str">
        <x:v>Recertify; adjust rent/subsidy; correct; appeal; agency referral</x:v>
      </x:c>
      <x:c r="H119" s="50" t="str">
        <x:v>Authorized compliance role and agency where applicable</x:v>
      </x:c>
      <x:c r="I119" s="50" t="str">
        <x:v>Compliance specialist; PM</x:v>
      </x:c>
      <x:c r="J119" s="50" t="str">
        <x:v>Continued lawful assistance and eligible occupancy</x:v>
      </x:c>
      <x:c r="K119" s="50" t="str">
        <x:v>Program-specific deadlines; privacy; current HOTMA implementation</x:v>
      </x:c>
      <x:c r="L119" s="50" t="str">
        <x:v>Track versioned program rules and gather missing inputs</x:v>
      </x:c>
      <x:c r="M119" s="50" t="str">
        <x:v>Eligibility; ledger; physical condition</x:v>
      </x:c>
      <x:c r="N119" s="50" t="str">
        <x:v>Which program-specific decision is being flattened into generic rent?</x:v>
      </x:c>
      <x:c r="O119" s="50" t="str">
        <x:v>O07;O12;O15</x:v>
      </x:c>
      <x:c r="P119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19" s="50" t="str">
        <x:v>Domain anchors support parts of the decision family. The decision taxonomy and automation hypotheses are original synthesis, not claims validated in full by each source.</x:v>
      </x:c>
      <x:c r="R119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19" s="2"/>
    </x:row>
    <x:row r="120" ht="125" customHeight="1">
      <x:c r="A120" s="50" t="str">
        <x:v>D114</x:v>
      </x:c>
      <x:c r="B120" s="50" t="str">
        <x:v>Segment-specific additional decisions</x:v>
      </x:c>
      <x:c r="C120" s="50" t="str">
        <x:v>HOA; commercial; student; affordable; hospitality; specialized</x:v>
      </x:c>
      <x:c r="D120" s="50" t="str">
        <x:v>What booking; cancellation; guest remedy; or room-release decision is needed?</x:v>
      </x:c>
      <x:c r="E120" s="50" t="str">
        <x:v>Reservation; turnover; complaint; channel issue</x:v>
      </x:c>
      <x:c r="F120" s="50" t="str">
        <x:v>Inventory; rate; identity; policy; housekeeping; local stay limits</x:v>
      </x:c>
      <x:c r="G120" s="50" t="str">
        <x:v>Accept; reprice; refund; relocate; extend; hold room</x:v>
      </x:c>
      <x:c r="H120" s="50" t="str">
        <x:v>Hospitality operator within policy</x:v>
      </x:c>
      <x:c r="I120" s="50" t="str">
        <x:v>Reservations; front desk; housekeeping</x:v>
      </x:c>
      <x:c r="J120" s="50" t="str">
        <x:v>Accurate sellable inventory and fulfilled stay</x:v>
      </x:c>
      <x:c r="K120" s="50" t="str">
        <x:v>Tax; accessibility; licensing; tenancy threshold; brand/OTA terms</x:v>
      </x:c>
      <x:c r="L120" s="50" t="str">
        <x:v>Coordinate booking and housekeeping; bounded refunds</x:v>
      </x:c>
      <x:c r="M120" s="50" t="str">
        <x:v>Physical readiness; payments; guest status</x:v>
      </x:c>
      <x:c r="N120" s="50" t="str">
        <x:v>Where does nightly operation materially differ from residential leasing?</x:v>
      </x:c>
      <x:c r="O120" s="50" t="str">
        <x:v>O07;O12;O15</x:v>
      </x:c>
      <x:c r="P120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20" s="50" t="str">
        <x:v>Domain anchors support parts of the decision family. The decision taxonomy and automation hypotheses are original synthesis, not claims validated in full by each source.</x:v>
      </x:c>
      <x:c r="R120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20" s="2"/>
    </x:row>
    <x:row r="121" ht="125" customHeight="1">
      <x:c r="A121" s="50" t="str">
        <x:v>D115</x:v>
      </x:c>
      <x:c r="B121" s="50" t="str">
        <x:v>Segment-specific additional decisions</x:v>
      </x:c>
      <x:c r="C121" s="50" t="str">
        <x:v>HOA; commercial; student; affordable; hospitality; specialized</x:v>
      </x:c>
      <x:c r="D121" s="50" t="str">
        <x:v>What specialist duty lies outside ordinary property management?</x:v>
      </x:c>
      <x:c r="E121" s="50" t="str">
        <x:v>Care service; laboratory; data center; specialized industrial use</x:v>
      </x:c>
      <x:c r="F121" s="50" t="str">
        <x:v>Operator licenses; safety case; service contract; technical requirements</x:v>
      </x:c>
      <x:c r="G121" s="50" t="str">
        <x:v>Specialist provider; scoped support; refer; decline</x:v>
      </x:c>
      <x:c r="H121" s="50" t="str">
        <x:v>Licensed operator/technical authority</x:v>
      </x:c>
      <x:c r="I121" s="50" t="str">
        <x:v>Qualified specialist; PM coordinates building services</x:v>
      </x:c>
      <x:c r="J121" s="50" t="str">
        <x:v>Clear boundary and complete handoff</x:v>
      </x:c>
      <x:c r="K121" s="50" t="str">
        <x:v>Care; clinical; environmental; critical-infrastructure rules</x:v>
      </x:c>
      <x:c r="L121" s="50" t="str">
        <x:v>Recognize scope and route; never treat generic PM policy as sufficient</x:v>
      </x:c>
      <x:c r="M121" s="50" t="str">
        <x:v>Mandate; emergency; tenant operations</x:v>
      </x:c>
      <x:c r="N121" s="50" t="str">
        <x:v>Does real-estate scope conceal a regulated operating business?</x:v>
      </x:c>
      <x:c r="O121" s="50" t="str">
        <x:v>O07;O12;O15</x:v>
      </x:c>
      <x:c r="P121" s="50" t="str">
        <x:v>https://archives.hud.gov/offices/adm/hudclips/handbooks/hsgh/43503c4HSGH.PDF
https://www.rics.org/content/dam/ricsglobal/documents/standards/Service-Charges-in-Commercial-Property-2nd-edition.pdf
https://www.leg.state.fl.us/statutes/index.cfm?App_mode=Display_Statute&amp;URL=0700-0799/0718/Sections/0718.112.html</x:v>
      </x:c>
      <x:c r="Q121" s="50" t="str">
        <x:v>Domain anchors support parts of the decision family. The decision taxonomy and automation hypotheses are original synthesis, not claims validated in full by each source.</x:v>
      </x:c>
      <x:c r="R121" s="50" t="str">
        <x:v>O07: Historical architecture source only; current HOTMA/program notices and law must govern actual rules
O12: UK professional standard; not US law; revised effective-date transition explained on RICS standard page
O15: Scope; exceptions; deadlines and amendments must be checked for the exact association</x:v>
      </x:c>
      <x:c r="S121" s="2"/>
    </x:row>
  </x:sheetData>
  <x:pageMargins left="0.7" right="0.7" top="0.75" bottom="0.75" header="0.3" footer="0.3"/>
  <x:tableParts count="1">
    <x:tablePart xmlns:r="http://schemas.openxmlformats.org/officeDocument/2006/relationships" r:id="R665ef8a7f5c647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5" hidden="0" customWidth="1"/>
    <x:col min="3" max="3" width="45" hidden="0" customWidth="1"/>
    <x:col min="4" max="4" width="45" hidden="0" customWidth="1"/>
    <x:col min="5" max="5" width="45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75" hidden="0" customWidth="1"/>
    <x:col min="12" max="12" width="15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Products and market evidence</x:v>
      </x:c>
      <x:c r="B2" s="3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</x:row>
    <x:row r="4">
      <x:c r="A4" s="2" t="str">
        <x:v>38 records. Filter the headers and scroll right for full detail.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2" customHeight="1">
      <x:c r="A6" s="43" t="str">
        <x:v>provider</x:v>
      </x:c>
      <x:c r="B6" s="43" t="str">
        <x:v>category</x:v>
      </x:c>
      <x:c r="C6" s="43" t="str">
        <x:v>segments</x:v>
      </x:c>
      <x:c r="D6" s="43" t="str">
        <x:v>lifecycle coverage</x:v>
      </x:c>
      <x:c r="E6" s="43" t="str">
        <x:v>capabilities observed</x:v>
      </x:c>
      <x:c r="F6" s="43" t="str">
        <x:v>evidence kind</x:v>
      </x:c>
      <x:c r="G6" s="43" t="str">
        <x:v>price observed</x:v>
      </x:c>
      <x:c r="H6" s="43" t="str">
        <x:v>access observed</x:v>
      </x:c>
      <x:c r="I6" s="43" t="str">
        <x:v>limitations or unknowns</x:v>
      </x:c>
      <x:c r="J6" s="43" t="str">
        <x:v>competitive implication</x:v>
      </x:c>
      <x:c r="K6" s="43" t="str">
        <x:v>source urls</x:v>
      </x:c>
      <x:c r="L6" s="43" t="str">
        <x:v>source date</x:v>
      </x:c>
      <x:c r="M6" s="43" t="str">
        <x:v>checked date</x:v>
      </x:c>
      <x:c r="N6" s="2"/>
    </x:row>
    <x:row r="7" ht="60" customHeight="1">
      <x:c r="A7" s="50" t="str">
        <x:v>AppFolio</x:v>
      </x:c>
      <x:c r="B7" s="50" t="str">
        <x:v>Core PMS + native AI</x:v>
      </x:c>
      <x:c r="C7" s="50" t="str">
        <x:v>US rental; associations; commercial</x:v>
      </x:c>
      <x:c r="D7" s="50" t="str">
        <x:v>leasing;resident_service;maintenance;inspections;turns;accounting;payments</x:v>
      </x:c>
      <x:c r="E7" s="50" t="str">
        <x:v>Realm-X Assistant, Messages, Flows and agentic Performers; published plans include accounting, leasing, inspections and turns.</x:v>
      </x:c>
      <x:c r="F7" s="50" t="str">
        <x:v>Vendor product and pricing documentation; performance unverified</x:v>
      </x:c>
      <x:c r="G7" s="50" t="str">
        <x:v>Quote; Core minimum 50 units and minimum spend. Plus minimums apply.</x:v>
      </x:c>
      <x:c r="H7" s="50" t="str">
        <x:v>Plus lists AppFolio API as read-only. Stack standard/premium integrations vary by plan.</x:v>
      </x:c>
      <x:c r="I7" s="50" t="str">
        <x:v>Read-only customer API is not blanket write authority; partner access and per-object actions need confirmation.</x:v>
      </x:c>
      <x:c r="J7" s="50" t="str">
        <x:v>Native distribution and data access are strong advantages; do not pitch generic AppFolio AI overlay.</x:v>
      </x:c>
      <x:c r="K7" s="50" t="str">
        <x:v>https://www.appfolio.com/pricing|https://www.appfolio.com/ai|https://www.appfolio.com/stack|https://www.appfolio.com/newsroom/appfolio-ai-agents</x:v>
      </x:c>
      <x:c r="L7" s="50" t="str">
        <x:v>2025-06-11 announcement; live pages undated</x:v>
      </x:c>
      <x:c r="M7" s="53" t="n">
        <x:v>46280</x:v>
      </x:c>
      <x:c r="N7" s="2"/>
    </x:row>
    <x:row r="8" ht="47" customHeight="1">
      <x:c r="A8" s="50" t="str">
        <x:v>Yardi</x:v>
      </x:c>
      <x:c r="B8" s="50" t="str">
        <x:v>Core PMS + native AI</x:v>
      </x:c>
      <x:c r="C8" s="50" t="str">
        <x:v>Global residential; commercial; affordable; senior</x:v>
      </x:c>
      <x:c r="D8" s="50" t="str">
        <x:v>leasing;resident_service;maintenance;accounting;payments;asset_management;compliance;utilities</x:v>
      </x:c>
      <x:c r="E8" s="50" t="str">
        <x:v>Voyager ecosystem; Virtuoso agents, agent marketplace, no-code Composer and centralized agent management.</x:v>
      </x:c>
      <x:c r="F8" s="50" t="str">
        <x:v>Vendor product and interfaces documentation; performance unverified</x:v>
      </x:c>
      <x:c r="G8" s="50" t="str">
        <x:v>Enterprise pricing not published on reviewed pages.</x:v>
      </x:c>
      <x:c r="H8" s="50" t="str">
        <x:v>Third-party interface program; partner/application-specific interfaces.</x:v>
      </x:c>
      <x:c r="I8" s="50" t="str">
        <x:v>Exact interface categories, writes, approval, fees and rollout require vendor diligence.</x:v>
      </x:c>
      <x:c r="J8" s="50" t="str">
        <x:v>Building an agent orchestration layer alone is already a native product proposition.</x:v>
      </x:c>
      <x:c r="K8" s="50" t="str">
        <x:v>https://www.yardi.com/|https://www.yardi.com/virtuoso/|https://www.yardi.com/company/interfaces/</x:v>
      </x:c>
      <x:c r="L8" s="50" t="str">
        <x:v>Undated live pages</x:v>
      </x:c>
      <x:c r="M8" s="53" t="n">
        <x:v>46280</x:v>
      </x:c>
      <x:c r="N8" s="2"/>
    </x:row>
    <x:row r="9" ht="60" customHeight="1">
      <x:c r="A9" s="50" t="str">
        <x:v>RealPage</x:v>
      </x:c>
      <x:c r="B9" s="50" t="str">
        <x:v>Core PMS + native AI</x:v>
      </x:c>
      <x:c r="C9" s="50" t="str">
        <x:v>US multifamily; specialized housing; portfolio investors</x:v>
      </x:c>
      <x:c r="D9" s="50" t="str">
        <x:v>leasing;resident_service;maintenance;accounting;payments;procurement;asset_management;compliance;utilities</x:v>
      </x:c>
      <x:c r="E9" s="50" t="str">
        <x:v>OneSite and Lumina; seven marketed AI agents across leasing, resident engagement, operations, facilities, finance, spend and analytics.</x:v>
      </x:c>
      <x:c r="F9" s="50" t="str">
        <x:v>Vendor announcement/product documentation; deployment and performance unverified</x:v>
      </x:c>
      <x:c r="G9" s="50" t="str">
        <x:v>Not published on reviewed pages.</x:v>
      </x:c>
      <x:c r="H9" s="50" t="str">
        <x:v>Embedded in RealPage stack; open model access advertised in Lumina suite.</x:v>
      </x:c>
      <x:c r="I9" s="50" t="str">
        <x:v>Open model access does not establish unrestricted external transaction API access.</x:v>
      </x:c>
      <x:c r="J9" s="50" t="str">
        <x:v>Shared-context operating intelligence is directly contested by an incumbent.</x:v>
      </x:c>
      <x:c r="K9" s="50" t="str">
        <x:v>https://www.realpage.com/|https://www.realpage.com/lp/lumina-ai-workforce/|https://www.realpage.com/news/realpage-introduces-lumina-ai-suite/</x:v>
      </x:c>
      <x:c r="L9" s="50" t="str">
        <x:v>2026-08-10 suite announcement</x:v>
      </x:c>
      <x:c r="M9" s="53" t="n">
        <x:v>46280</x:v>
      </x:c>
      <x:c r="N9" s="2"/>
    </x:row>
    <x:row r="10" ht="47" customHeight="1">
      <x:c r="A10" s="50" t="str">
        <x:v>Buildium</x:v>
      </x:c>
      <x:c r="B10" s="50" t="str">
        <x:v>Core PMS + native AI</x:v>
      </x:c>
      <x:c r="C10" s="50" t="str">
        <x:v>US small/midsize rental; associations; mixed portfolios</x:v>
      </x:c>
      <x:c r="D10" s="50" t="str">
        <x:v>leasing;resident_service;maintenance;inspections;turns;accounting;payments;owner_onboarding</x:v>
      </x:c>
      <x:c r="E10" s="50" t="str">
        <x:v>Accounting, maintenance, leasing, Lumina AI, workflow automation; inspections powered by HappyCo.</x:v>
      </x:c>
      <x:c r="F10" s="50" t="str">
        <x:v>Vendor pricing and API documentation; performance unverified</x:v>
      </x:c>
      <x:c r="G10" s="50" t="str">
        <x:v>Essential starts $62/month; Growth $192; Premium $400. Other transaction and service fees apply.</x:v>
      </x:c>
      <x:c r="H10" s="50" t="str">
        <x:v>Open API included in Premium; marketplace integrations.</x:v>
      </x:c>
      <x:c r="I10" s="50" t="str">
        <x:v>Starting prices are not full portfolio quotes; verify required endpoints and permissions.</x:v>
      </x:c>
      <x:c r="J10" s="50" t="str">
        <x:v>API-tier uplift can dominate a small pilot; compare configuration of purchased tools before new build.</x:v>
      </x:c>
      <x:c r="K10" s="50" t="str">
        <x:v>https://www.buildium.com/pricing/|https://www.buildium.com/features/open-api/</x:v>
      </x:c>
      <x:c r="L10" s="50" t="str">
        <x:v>Undated live pages</x:v>
      </x:c>
      <x:c r="M10" s="53" t="n">
        <x:v>46280</x:v>
      </x:c>
      <x:c r="N10" s="2"/>
    </x:row>
    <x:row r="11" ht="47" customHeight="1">
      <x:c r="A11" s="50" t="str">
        <x:v>MRI Software</x:v>
      </x:c>
      <x:c r="B11" s="50" t="str">
        <x:v>Core PMS + native AI</x:v>
      </x:c>
      <x:c r="C11" s="50" t="str">
        <x:v>Global commercial; residential; social/affordable housing</x:v>
      </x:c>
      <x:c r="D11" s="50" t="str">
        <x:v>leasing;resident_service;maintenance;accounting;asset_management;compliance</x:v>
      </x:c>
      <x:c r="E11" s="50" t="str">
        <x:v>Agora combines intelligence and workflow execution; Orchestrator, rule-governed workflows and role-specific signals.</x:v>
      </x:c>
      <x:c r="F11" s="50" t="str">
        <x:v>Vendor product documentation; deployment and performance unverified</x:v>
      </x:c>
      <x:c r="G11" s="50" t="str">
        <x:v>Not published on reviewed pages.</x:v>
      </x:c>
      <x:c r="H11" s="50" t="str">
        <x:v>Partner ecosystem advertised; endpoint-level access not established here.</x:v>
      </x:c>
      <x:c r="I11" s="50" t="str">
        <x:v>Cross-product availability and exact automation scope require live demonstration.</x:v>
      </x:c>
      <x:c r="J11" s="50" t="str">
        <x:v>An AI layer that understands real estate and runs workflows is already explicitly marketed.</x:v>
      </x:c>
      <x:c r="K11" s="50" t="str">
        <x:v>https://www.mrisoftware.com/|https://www.mrisoftware.com/mri-agora/</x:v>
      </x:c>
      <x:c r="L11" s="50" t="str">
        <x:v>Undated live pages</x:v>
      </x:c>
      <x:c r="M11" s="53" t="n">
        <x:v>46280</x:v>
      </x:c>
      <x:c r="N11" s="2"/>
    </x:row>
    <x:row r="12" ht="73" customHeight="1">
      <x:c r="A12" s="50" t="str">
        <x:v>Entrata</x:v>
      </x:c>
      <x:c r="B12" s="50" t="str">
        <x:v>Core PMS + native AI</x:v>
      </x:c>
      <x:c r="C12" s="50" t="str">
        <x:v>Multifamily; student; affordable; military; commercial</x:v>
      </x:c>
      <x:c r="D12" s="50" t="str">
        <x:v>leasing;resident_service;maintenance;turns;payments;accounting;renewals;compliance</x:v>
      </x:c>
      <x:c r="E12" s="50" t="str">
        <x:v>ELI+ leasing/payments/renewals; Maintenance AI categorizes, troubleshoots and updates tickets; facilities routing and make-ready boards.</x:v>
      </x:c>
      <x:c r="F12" s="50" t="str">
        <x:v>Vendor announcement and product documentation; performance unverified</x:v>
      </x:c>
      <x:c r="G12" s="50" t="str">
        <x:v>Not published on reviewed pages.</x:v>
      </x:c>
      <x:c r="H12" s="50" t="str">
        <x:v>Native transaction context; specific external API rights not established.</x:v>
      </x:c>
      <x:c r="I12" s="50" t="str">
        <x:v>Entrata Pro homepage launch on 2026-09-15 is a new announcement, not longitudinal operating evidence.</x:v>
      </x:c>
      <x:c r="J12" s="50" t="str">
        <x:v>A new entrant must outperform existing AI plus operator setup, not an imagined static legacy PMS.</x:v>
      </x:c>
      <x:c r="K12" s="50" t="str">
        <x:v>https://www.entrata.com/|https://www.entrata.com/press/ai-powered-maintenance|https://www.entrata.com/products/leasing-ai</x:v>
      </x:c>
      <x:c r="L12" s="50" t="str">
        <x:v>2025-06-11 maintenance announcement; 2026-09-15 Pro homepage</x:v>
      </x:c>
      <x:c r="M12" s="53" t="n">
        <x:v>46280</x:v>
      </x:c>
      <x:c r="N12" s="2"/>
    </x:row>
    <x:row r="13" ht="47" customHeight="1">
      <x:c r="A13" s="50" t="str">
        <x:v>Rent Manager</x:v>
      </x:c>
      <x:c r="B13" s="50" t="str">
        <x:v>Core PMS + integrations</x:v>
      </x:c>
      <x:c r="C13" s="50" t="str">
        <x:v>Residential; commercial; manufactured housing</x:v>
      </x:c>
      <x:c r="D13" s="50" t="str">
        <x:v>leasing;resident_service;maintenance;turns;accounting;payments;utilities</x:v>
      </x:c>
      <x:c r="E13" s="50" t="str">
        <x:v>Accounting, reporting, marketing, service issues, make-ready boards and custom workflows.</x:v>
      </x:c>
      <x:c r="F13" s="50" t="str">
        <x:v>Vendor product/API documentation</x:v>
      </x:c>
      <x:c r="G13" s="50" t="str">
        <x:v>No numeric price established from reviewed bundle page.</x:v>
      </x:c>
      <x:c r="H13" s="50" t="str">
        <x:v>Public customization page explicitly describes read and write API access to Rent Manager Online database.</x:v>
      </x:c>
      <x:c r="I13" s="50" t="str">
        <x:v>Partner fees, rate limits, endpoint semantics and commercial approval not established.</x:v>
      </x:c>
      <x:c r="J13" s="50" t="str">
        <x:v>Potentially useful pilot platform because read/write is explicit; still test required operations.</x:v>
      </x:c>
      <x:c r="K13" s="50" t="str">
        <x:v>https://www.rentmanager.com/|https://www.rentmanager.com/software-customization/|https://www.rentmanager.com/pricing/</x:v>
      </x:c>
      <x:c r="L13" s="50" t="str">
        <x:v>Undated live pages</x:v>
      </x:c>
      <x:c r="M13" s="53" t="n">
        <x:v>46280</x:v>
      </x:c>
      <x:c r="N13" s="2"/>
    </x:row>
    <x:row r="14" ht="60" customHeight="1">
      <x:c r="A14" s="50" t="str">
        <x:v>EliseAI</x:v>
      </x:c>
      <x:c r="B14" s="50" t="str">
        <x:v>Resident lifecycle AI + CRM</x:v>
      </x:c>
      <x:c r="C14" s="50" t="str">
        <x:v>Multifamily; student; SFR; affordable</x:v>
      </x:c>
      <x:c r="D14" s="50" t="str">
        <x:v>leasing;screening;move_in;resident_service;maintenance;turns;inspections;renewals;collections;compliance</x:v>
      </x:c>
      <x:c r="E14" s="50" t="str">
        <x:v>AI leasing, tours, lease audits, maintenance, renewals and delinquency; payment-plan communications include guarantors.</x:v>
      </x:c>
      <x:c r="F14" s="50" t="str">
        <x:v>Vendor product documentation plus public implementation help; outcomes unverified</x:v>
      </x:c>
      <x:c r="G14" s="50" t="str">
        <x:v>Not published on reviewed pages.</x:v>
      </x:c>
      <x:c r="H14" s="50" t="str">
        <x:v>Maintenance integrations include Yardi, Entrata, RealPage, ResMan and AppFolio; RealPage requires leasing integration for unit details.</x:v>
      </x:c>
      <x:c r="I14" s="50" t="str">
        <x:v>Contact changes can take about 24 hours to sync; cancellations may need source PMS; emergency setup review required.</x:v>
      </x:c>
      <x:c r="J14" s="50" t="str">
        <x:v>Resident communication and routine follow-up are crowded; integration behavior offers concrete diligence tests.</x:v>
      </x:c>
      <x:c r="K14" s="50" t="str">
        <x:v>https://eliseai.com/platform-overview|https://eliseai.com/delinquency|https://support.meetelise.com/hc/en-us/articles/39887009308301-Getting-Started-with-MaintenanceAI</x:v>
      </x:c>
      <x:c r="L14" s="50" t="str">
        <x:v>2026-07-09 help update; product pages undated</x:v>
      </x:c>
      <x:c r="M14" s="53" t="n">
        <x:v>46280</x:v>
      </x:c>
      <x:c r="N14" s="2"/>
    </x:row>
    <x:row r="15" ht="60" customHeight="1">
      <x:c r="A15" s="50" t="str">
        <x:v>Funnel</x:v>
      </x:c>
      <x:c r="B15" s="50" t="str">
        <x:v>Leasing CRM + AI</x:v>
      </x:c>
      <x:c r="C15" s="50" t="str">
        <x:v>Multifamily operators</x:v>
      </x:c>
      <x:c r="D15" s="50" t="str">
        <x:v>leasing;screening;move_in;resident_service;renewals;payments</x:v>
      </x:c>
      <x:c r="E15" s="50" t="str">
        <x:v>Renter-centric CRM across properties; centralized specialized teams, tours, omnichannel communication, workflow builder and prospect/resident AI.</x:v>
      </x:c>
      <x:c r="F15" s="50" t="str">
        <x:v>Vendor product/package documentation; performance unverified</x:v>
      </x:c>
      <x:c r="G15" s="50" t="str">
        <x:v>Packages published; no numeric quote on reviewed page.</x:v>
      </x:c>
      <x:c r="H15" s="50" t="str">
        <x:v>PMS integrations advertised; exact actions not verified.</x:v>
      </x:c>
      <x:c r="I15" s="50" t="str">
        <x:v>Case-study savings are selected vendor claims, not representative causal effects.</x:v>
      </x:c>
      <x:c r="J15" s="50" t="str">
        <x:v>Centralizing roles across properties is already an operating-model product, not untapped conceptual novelty.</x:v>
      </x:c>
      <x:c r="K15" s="50" t="str">
        <x:v>https://funnelleasing.com/products/next-generation-crm|https://funnelleasing.com/products/packages</x:v>
      </x:c>
      <x:c r="L15" s="50" t="str">
        <x:v>Undated live pages</x:v>
      </x:c>
      <x:c r="M15" s="53" t="n">
        <x:v>46280</x:v>
      </x:c>
      <x:c r="N15" s="2"/>
    </x:row>
    <x:row r="16" ht="47" customHeight="1">
      <x:c r="A16" s="50" t="str">
        <x:v>Property Meld</x:v>
      </x:c>
      <x:c r="B16" s="50" t="str">
        <x:v>Maintenance operations + AI</x:v>
      </x:c>
      <x:c r="C16" s="50" t="str">
        <x:v>SFR; multifamily; HOA; student</x:v>
      </x:c>
      <x:c r="D16" s="50" t="str">
        <x:v>maintenance;procurement;accounting</x:v>
      </x:c>
      <x:c r="E16" s="50" t="str">
        <x:v>MAX intake, scheduling, follow-up and on-call; decision guidance; TrueCost expected repair costs and billing validation.</x:v>
      </x:c>
      <x:c r="F16" s="50" t="str">
        <x:v>Vendor product/pricing documentation; accuracy and savings claims unverified</x:v>
      </x:c>
      <x:c r="G16" s="50" t="str">
        <x:v>Monthly Core $1.60/unit; Ops $2.00/unit; MAX On-Call add-on $1.50/unit.</x:v>
      </x:c>
      <x:c r="H16" s="50" t="str">
        <x:v>PMS integrations advertised; detailed permissions not established here.</x:v>
      </x:c>
      <x:c r="I16" s="50" t="str">
        <x:v>No causal validation of cost/renewal claims; package minimums and contract need confirmation.</x:v>
      </x:c>
      <x:c r="J16" s="50" t="str">
        <x:v>Both coordination and maintenance cost checking have direct specialist competition.</x:v>
      </x:c>
      <x:c r="K16" s="50" t="str">
        <x:v>https://propertymeld.com/pricing/|https://propertymeld.com/max-intelligence/|https://propertymeld.com/truecost/</x:v>
      </x:c>
      <x:c r="L16" s="50" t="str">
        <x:v>Undated live pages</x:v>
      </x:c>
      <x:c r="M16" s="53" t="n">
        <x:v>46280</x:v>
      </x:c>
      <x:c r="N16" s="2"/>
    </x:row>
    <x:row r="17" ht="47" customHeight="1">
      <x:c r="A17" s="50" t="str">
        <x:v>Latchel</x:v>
      </x:c>
      <x:c r="B17" s="50" t="str">
        <x:v>AI front office + maintenance service</x:v>
      </x:c>
      <x:c r="C17" s="50" t="str">
        <x:v>Growing residential property managers</x:v>
      </x:c>
      <x:c r="D17" s="50" t="str">
        <x:v>leasing;owner_onboarding;resident_service;maintenance</x:v>
      </x:c>
      <x:c r="E17" s="50" t="str">
        <x:v>AI call handling, troubleshooting, trip bundling, dispatch and voice-based vendor interaction, with human escalation.</x:v>
      </x:c>
      <x:c r="F17" s="50" t="str">
        <x:v>Vendor product documentation; performance unverified</x:v>
      </x:c>
      <x:c r="G17" s="50" t="str">
        <x:v>No numeric price on reviewed page.</x:v>
      </x:c>
      <x:c r="H17" s="50" t="str">
        <x:v>Full integrations and lighter data pipelines explicitly distinguished by PMS.</x:v>
      </x:c>
      <x:c r="I17" s="50" t="str">
        <x:v>Coverage and exact write semantics vary; intake resolution claims do not prove safe avoided repairs.</x:v>
      </x:c>
      <x:c r="J17" s="50" t="str">
        <x:v>A low-friction voice coordinator and human fallback already exist; execution quality must be measured.</x:v>
      </x:c>
      <x:c r="K17" s="50" t="str">
        <x:v>https://latchel.com/</x:v>
      </x:c>
      <x:c r="L17" s="50" t="str">
        <x:v>Undated live page</x:v>
      </x:c>
      <x:c r="M17" s="53" t="n">
        <x:v>46280</x:v>
      </x:c>
      <x:c r="N17" s="2"/>
    </x:row>
    <x:row r="18" ht="47" customHeight="1">
      <x:c r="A18" s="50" t="str">
        <x:v>Lula</x:v>
      </x:c>
      <x:c r="B18" s="50" t="str">
        <x:v>Managed maintenance network + software</x:v>
      </x:c>
      <x:c r="C18" s="50" t="str">
        <x:v>Residential property managers</x:v>
      </x:c>
      <x:c r="D18" s="50" t="str">
        <x:v>maintenance;turns;procurement</x:v>
      </x:c>
      <x:c r="E18" s="50" t="str">
        <x:v>Maintenance coordination and service network; software plus technicians, scheduling and after-hours support.</x:v>
      </x:c>
      <x:c r="F18" s="50" t="str">
        <x:v>Vendor service documentation; scale/performance claims unverified</x:v>
      </x:c>
      <x:c r="G18" s="50" t="str">
        <x:v>Homepage markets no subscription fee for managed-maintenance offer; service charges require quote.</x:v>
      </x:c>
      <x:c r="H18" s="50" t="str">
        <x:v>Can be assigned work as a vendor in existing PMS; integrated coordination offer also marketed.</x:v>
      </x:c>
      <x:c r="I18" s="50" t="str">
        <x:v>Local capacity, service price, SLA and responsibility vary; free software is not free repairs.</x:v>
      </x:c>
      <x:c r="J18" s="50" t="str">
        <x:v>Competes by delivering physical work, not just generating a better task list.</x:v>
      </x:c>
      <x:c r="K18" s="50" t="str">
        <x:v>https://lula.life/|https://lula.life/property-managers</x:v>
      </x:c>
      <x:c r="L18" s="50" t="str">
        <x:v>Undated live pages</x:v>
      </x:c>
      <x:c r="M18" s="53" t="n">
        <x:v>46280</x:v>
      </x:c>
      <x:c r="N18" s="2"/>
    </x:row>
    <x:row r="19" ht="60" customHeight="1">
      <x:c r="A19" s="50" t="str">
        <x:v>HappyCo</x:v>
      </x:c>
      <x:c r="B19" s="50" t="str">
        <x:v>Maintenance + inspections + procurement</x:v>
      </x:c>
      <x:c r="C19" s="50" t="str">
        <x:v>Multifamily operators</x:v>
      </x:c>
      <x:c r="D19" s="50" t="str">
        <x:v>maintenance;inspections;turns;procurement;asset_management</x:v>
      </x:c>
      <x:c r="E19" s="50" t="str">
        <x:v>Inspections, maintenance workflows, AI assignment, preventative planning, inventory and AI-assisted procurement; JoyAI triage.</x:v>
      </x:c>
      <x:c r="F19" s="50" t="str">
        <x:v>Vendor product documentation; performance unverified</x:v>
      </x:c>
      <x:c r="G19" s="50" t="str">
        <x:v>Not published on reviewed page.</x:v>
      </x:c>
      <x:c r="H19" s="50" t="str">
        <x:v>Ecosystem distribution includes Buildium inspection integration.</x:v>
      </x:c>
      <x:c r="I19" s="50" t="str">
        <x:v>Exact AI availability, data capture burden and procurement scope need verification.</x:v>
      </x:c>
      <x:c r="J19" s="50" t="str">
        <x:v>Inspection-to-maintenance-to-spend is already a specialist expansion path.</x:v>
      </x:c>
      <x:c r="K19" s="50" t="str">
        <x:v>https://happy.co/|https://www.buildium.com/pricing/</x:v>
      </x:c>
      <x:c r="L19" s="50" t="str">
        <x:v>Undated live pages</x:v>
      </x:c>
      <x:c r="M19" s="53" t="n">
        <x:v>46280</x:v>
      </x:c>
      <x:c r="N19" s="2"/>
    </x:row>
    <x:row r="20" ht="73" customHeight="1">
      <x:c r="A20" s="50" t="str">
        <x:v>Lessen</x:v>
      </x:c>
      <x:c r="B20" s="50" t="str">
        <x:v>Managed property services + AI</x:v>
      </x:c>
      <x:c r="C20" s="50" t="str">
        <x:v>Residential owners; commercial occupiers; enterprise portfolios</x:v>
      </x:c>
      <x:c r="D20" s="50" t="str">
        <x:v>maintenance;turns;procurement;accounting;asset_management</x:v>
      </x:c>
      <x:c r="E20" s="50" t="str">
        <x:v>Service network and facilities platforms; Aiden assists diagnosis, dispatch, updates and draft technician invoicing.</x:v>
      </x:c>
      <x:c r="F20" s="50" t="str">
        <x:v>Vendor service/product documentation; performance unverified</x:v>
      </x:c>
      <x:c r="G20" s="50" t="str">
        <x:v>Not published on reviewed pages.</x:v>
      </x:c>
      <x:c r="H20" s="50" t="str">
        <x:v>Platform/network model; announced HappyCo integration 2026-05-19.</x:v>
      </x:c>
      <x:c r="I20" s="50" t="str">
        <x:v>Not evidence that all physical jobs are autonomously completed; contractor review and field execution remain.</x:v>
      </x:c>
      <x:c r="J20" s="50" t="str">
        <x:v>Managed outcome competition includes vendor labor supply and payment, not only software.</x:v>
      </x:c>
      <x:c r="K20" s="50" t="str">
        <x:v>https://www.lessen.com/|https://www.lessen.com/aiden</x:v>
      </x:c>
      <x:c r="L20" s="50" t="str">
        <x:v>2026-05-19 integration noted on homepage; Aiden undated</x:v>
      </x:c>
      <x:c r="M20" s="53" t="n">
        <x:v>46280</x:v>
      </x:c>
      <x:c r="N20" s="2"/>
    </x:row>
    <x:row r="21" ht="47" customHeight="1">
      <x:c r="A21" s="50" t="str">
        <x:v>RentCheck</x:v>
      </x:c>
      <x:c r="B21" s="50" t="str">
        <x:v>Inspections + condition records</x:v>
      </x:c>
      <x:c r="C21" s="50" t="str">
        <x:v>Residential rental managers</x:v>
      </x:c>
      <x:c r="D21" s="50" t="str">
        <x:v>inspections;maintenance;move_in;move_out</x:v>
      </x:c>
      <x:c r="E21" s="50" t="str">
        <x:v>Resident/staff/vendor inspections, time-stamped capture, comparisons, workflows, AI Damage Assist and deduction reports.</x:v>
      </x:c>
      <x:c r="F21" s="50" t="str">
        <x:v>Vendor pricing/product documentation; performance unverified</x:v>
      </x:c>
      <x:c r="G21" s="50" t="str">
        <x:v>Starts $1 Launch, $1.25 Accelerate, $1.75 Velocity per unit/month.</x:v>
      </x:c>
      <x:c r="H21" s="50" t="str">
        <x:v>PMS and work-order integrations; Accelerate limited API; higher-tier advanced integrations.</x:v>
      </x:c>
      <x:c r="I21" s="50" t="str">
        <x:v>An image and deduction report do not establish legal chargeability; validate completeness and resident participation.</x:v>
      </x:c>
      <x:c r="J21" s="50" t="str">
        <x:v>Photo comparison, resident self-inspection and inspection follow-up are established products.</x:v>
      </x:c>
      <x:c r="K21" s="50" t="str">
        <x:v>https://www.getrentcheck.com/plan-pricing</x:v>
      </x:c>
      <x:c r="L21" s="50" t="str">
        <x:v>Undated live page</x:v>
      </x:c>
      <x:c r="M21" s="53" t="n">
        <x:v>46280</x:v>
      </x:c>
      <x:c r="N21" s="2"/>
    </x:row>
    <x:row r="22" ht="47" customHeight="1">
      <x:c r="A22" s="50" t="str">
        <x:v>zInspector</x:v>
      </x:c>
      <x:c r="B22" s="50" t="str">
        <x:v>Inspections + condition records</x:v>
      </x:c>
      <x:c r="C22" s="50" t="str">
        <x:v>Residential managers</x:v>
      </x:c>
      <x:c r="D22" s="50" t="str">
        <x:v>inspections;move_in;move_out;maintenance</x:v>
      </x:c>
      <x:c r="E22" s="50" t="str">
        <x:v>Property inspections and zTenant guided resident inspections with signatures and reminders.</x:v>
      </x:c>
      <x:c r="F22" s="50" t="str">
        <x:v>Vendor product documentation; performance unverified</x:v>
      </x:c>
      <x:c r="G22" s="50" t="str">
        <x:v>Numeric pricing not verified.</x:v>
      </x:c>
      <x:c r="H22" s="50" t="str">
        <x:v>Integration details not inspected in this review.</x:v>
      </x:c>
      <x:c r="I22" s="50" t="str">
        <x:v>Coverage of inaccessible spaces, hidden defects and truth of resident submissions remains an operational issue.</x:v>
      </x:c>
      <x:c r="J22" s="50" t="str">
        <x:v>A condition record or guided capture app alone is a well-served category.</x:v>
      </x:c>
      <x:c r="K22" s="50" t="str">
        <x:v>https://zinspector.com/</x:v>
      </x:c>
      <x:c r="L22" s="50" t="str">
        <x:v>Undated live page</x:v>
      </x:c>
      <x:c r="M22" s="53" t="n">
        <x:v>46280</x:v>
      </x:c>
      <x:c r="N22" s="2"/>
    </x:row>
    <x:row r="23" ht="47" customHeight="1">
      <x:c r="A23" s="50" t="str">
        <x:v>Zego</x:v>
      </x:c>
      <x:c r="B23" s="50" t="str">
        <x:v>Payments + utility operations</x:v>
      </x:c>
      <x:c r="C23" s="50" t="str">
        <x:v>Multifamily; HOA; student; manufactured; BTR</x:v>
      </x:c>
      <x:c r="D23" s="50" t="str">
        <x:v>payments;accounting;resident_service;move_out;renewals;utilities</x:v>
      </x:c>
      <x:c r="E23" s="50" t="str">
        <x:v>Digital rent/dues payments, utility AP and resident billing, vacant-unit cost recovery and resident payouts.</x:v>
      </x:c>
      <x:c r="F23" s="50" t="str">
        <x:v>Vendor product documentation; savings claims unverified</x:v>
      </x:c>
      <x:c r="G23" s="50" t="str">
        <x:v>Request pricing.</x:v>
      </x:c>
      <x:c r="H23" s="50" t="str">
        <x:v>PMS/accounting integrations advertised.</x:v>
      </x:c>
      <x:c r="I23" s="50" t="str">
        <x:v>Transaction cost, recovery rules and full accounting reconciliation scope need diligence.</x:v>
      </x:c>
      <x:c r="J23" s="50" t="str">
        <x:v>Payment routing, utility recovery and deposit payout workflows already have scaled specialists.</x:v>
      </x:c>
      <x:c r="K23" s="50" t="str">
        <x:v>https://www.gozego.com/</x:v>
      </x:c>
      <x:c r="L23" s="50" t="str">
        <x:v>Undated live page</x:v>
      </x:c>
      <x:c r="M23" s="53" t="n">
        <x:v>46280</x:v>
      </x:c>
      <x:c r="N23" s="2"/>
    </x:row>
    <x:row r="24" ht="47" customHeight="1">
      <x:c r="A24" s="50" t="str">
        <x:v>PayProp</x:v>
      </x:c>
      <x:c r="B24" s="50" t="str">
        <x:v>Payments + trust accounting</x:v>
      </x:c>
      <x:c r="C24" s="50" t="str">
        <x:v>Rental managers; US/UK/Canada/South Africa</x:v>
      </x:c>
      <x:c r="D24" s="50" t="str">
        <x:v>payments;accounting;collections;maintenance;resident_service</x:v>
      </x:c>
      <x:c r="E24" s="50" t="str">
        <x:v>Bank-connected rental collections, reconciliation, distributions and arrears reminders.</x:v>
      </x:c>
      <x:c r="F24" s="50" t="str">
        <x:v>Vendor product/pricing documentation; performance unverified</x:v>
      </x:c>
      <x:c r="G24" s="50" t="str">
        <x:v>US page: service fee less than 1% processing volume; setup $660-$2250; license $40/pm as displayed.</x:v>
      </x:c>
      <x:c r="H24" s="50" t="str">
        <x:v>Public page describes documented API and third-party integrations.</x:v>
      </x:c>
      <x:c r="I24" s="50" t="str">
        <x:v>Confirm US-specific plan/meaning of license unit; website includes cross-region examples.</x:v>
      </x:c>
      <x:c r="J24" s="50" t="str">
        <x:v>Trust-money automation already has bank-embedded alternatives; geography changes delivery requirements.</x:v>
      </x:c>
      <x:c r="K24" s="50" t="str">
        <x:v>https://www.payprop.com/us|https://www.payprop.com/us/pricing</x:v>
      </x:c>
      <x:c r="L24" s="50" t="str">
        <x:v>Undated live pages</x:v>
      </x:c>
      <x:c r="M24" s="53" t="n">
        <x:v>46280</x:v>
      </x:c>
      <x:c r="N24" s="2"/>
    </x:row>
    <x:row r="25" ht="47" customHeight="1">
      <x:c r="A25" s="50" t="str">
        <x:v>Flex</x:v>
      </x:c>
      <x:c r="B25" s="50" t="str">
        <x:v>Rent payment financing</x:v>
      </x:c>
      <x:c r="C25" s="50" t="str">
        <x:v>US renters and property partners</x:v>
      </x:c>
      <x:c r="D25" s="50" t="str">
        <x:v>payments;collections</x:v>
      </x:c>
      <x:c r="E25" s="50" t="str">
        <x:v>Renter pays in two installments while eligible rent is paid in full to property.</x:v>
      </x:c>
      <x:c r="F25" s="50" t="str">
        <x:v>Vendor product documentation; efficacy unverified</x:v>
      </x:c>
      <x:c r="G25" s="50" t="str">
        <x:v>Exact renter membership and transaction charges not verified in reviewed page.</x:v>
      </x:c>
      <x:c r="H25" s="50" t="str">
        <x:v>Payment product rather than general workflow API.</x:v>
      </x:c>
      <x:c r="I25" s="50" t="str">
        <x:v>Eligibility, financing terms, fees and risk allocation need product-specific diligence.</x:v>
      </x:c>
      <x:c r="J25" s="50" t="str">
        <x:v>Changing cash timing can solve an underlying payment problem better than adding reminders.</x:v>
      </x:c>
      <x:c r="K25" s="50" t="str">
        <x:v>https://getflex.com/</x:v>
      </x:c>
      <x:c r="L25" s="50" t="str">
        <x:v>Undated live page</x:v>
      </x:c>
      <x:c r="M25" s="53" t="n">
        <x:v>46280</x:v>
      </x:c>
      <x:c r="N25" s="2"/>
    </x:row>
    <x:row r="26" ht="47" customHeight="1">
      <x:c r="A26" s="50" t="str">
        <x:v>Vantaca</x:v>
      </x:c>
      <x:c r="B26" s="50" t="str">
        <x:v>Association PMS + vendor operations</x:v>
      </x:c>
      <x:c r="C26" s="50" t="str">
        <x:v>HOA/community association managers</x:v>
      </x:c>
      <x:c r="D26" s="50" t="str">
        <x:v>hoa_governance;accounting;payments;resident_service;procurement;compliance</x:v>
      </x:c>
      <x:c r="E26" s="50" t="str">
        <x:v>Community-association management; vendor procurement, onboarding, compliance, invoice processing and payments.</x:v>
      </x:c>
      <x:c r="F26" s="50" t="str">
        <x:v>Vendor product documentation; performance unverified</x:v>
      </x:c>
      <x:c r="G26" s="50" t="str">
        <x:v>Not published on reviewed pages.</x:v>
      </x:c>
      <x:c r="H26" s="50" t="str">
        <x:v>Native Vantaca vendor product; external API details not verified.</x:v>
      </x:c>
      <x:c r="I26" s="50" t="str">
        <x:v>Association decisions require board/management authority distinctions absent from rental-only products.</x:v>
      </x:c>
      <x:c r="J26" s="50" t="str">
        <x:v>HOA is a distinct buyer/workflow, already served by focused vendors.</x:v>
      </x:c>
      <x:c r="K26" s="50" t="str">
        <x:v>https://www.vantaca.com/|https://www.vantaca.com/vendor</x:v>
      </x:c>
      <x:c r="L26" s="50" t="str">
        <x:v>Undated live pages</x:v>
      </x:c>
      <x:c r="M26" s="53" t="n">
        <x:v>46280</x:v>
      </x:c>
      <x:c r="N26" s="2"/>
    </x:row>
    <x:row r="27" ht="47" customHeight="1">
      <x:c r="A27" s="50" t="str">
        <x:v>VTS</x:v>
      </x:c>
      <x:c r="B27" s="50" t="str">
        <x:v>Commercial leasing + asset/tenant platform</x:v>
      </x:c>
      <x:c r="C27" s="50" t="str">
        <x:v>Commercial owners; brokers; asset/property managers</x:v>
      </x:c>
      <x:c r="D27" s="50" t="str">
        <x:v>leasing;asset_management;resident_service;maintenance</x:v>
      </x:c>
      <x:c r="E27" s="50" t="str">
        <x:v>Commercial lease pipeline, lease abstraction, asset intelligence, property operations and tenant engagement.</x:v>
      </x:c>
      <x:c r="F27" s="50" t="str">
        <x:v>Vendor product documentation; performance unverified</x:v>
      </x:c>
      <x:c r="G27" s="50" t="str">
        <x:v>Not published on reviewed page.</x:v>
      </x:c>
      <x:c r="H27" s="50" t="str">
        <x:v>Integration scope not verified here.</x:v>
      </x:c>
      <x:c r="I27" s="50" t="str">
        <x:v>Commercial lease economics and negotiated obligations differ materially from apartment leasing.</x:v>
      </x:c>
      <x:c r="J27" s="50" t="str">
        <x:v>Commercial data unification and lease intelligence are established, not empty adjacent markets.</x:v>
      </x:c>
      <x:c r="K27" s="50" t="str">
        <x:v>https://www.vts.com/</x:v>
      </x:c>
      <x:c r="L27" s="50" t="str">
        <x:v>Undated live page</x:v>
      </x:c>
      <x:c r="M27" s="53" t="n">
        <x:v>46280</x:v>
      </x:c>
      <x:c r="N27" s="2"/>
    </x:row>
    <x:row r="28" ht="47" customHeight="1">
      <x:c r="A28" s="50" t="str">
        <x:v>Building Engines</x:v>
      </x:c>
      <x:c r="B28" s="50" t="str">
        <x:v>Commercial building operations</x:v>
      </x:c>
      <x:c r="C28" s="50" t="str">
        <x:v>Office; retail; industrial</x:v>
      </x:c>
      <x:c r="D28" s="50" t="str">
        <x:v>maintenance;inspections;procurement;compliance;resident_service</x:v>
      </x:c>
      <x:c r="E28" s="50" t="str">
        <x:v>Prism work orders, preventive maintenance, bids, inspections, incidents, contracts, tenant compliance and AI.</x:v>
      </x:c>
      <x:c r="F28" s="50" t="str">
        <x:v>Vendor product documentation; performance unverified</x:v>
      </x:c>
      <x:c r="G28" s="50" t="str">
        <x:v>Numeric pricing not verified.</x:v>
      </x:c>
      <x:c r="H28" s="50" t="str">
        <x:v>Partner ecosystem; Jones integration listed.</x:v>
      </x:c>
      <x:c r="I28" s="50" t="str">
        <x:v>Confirm rights and depth of system integration for any proposed overlay.</x:v>
      </x:c>
      <x:c r="J28" s="50" t="str">
        <x:v>Commercial operations coordination and compliance already have specialized systems.</x:v>
      </x:c>
      <x:c r="K28" s="50" t="str">
        <x:v>https://www.buildingengines.com/</x:v>
      </x:c>
      <x:c r="L28" s="50" t="str">
        <x:v>Undated live page</x:v>
      </x:c>
      <x:c r="M28" s="53" t="n">
        <x:v>46280</x:v>
      </x:c>
      <x:c r="N28" s="2"/>
    </x:row>
    <x:row r="29" ht="47" customHeight="1">
      <x:c r="A29" s="50" t="str">
        <x:v>Facilio</x:v>
      </x:c>
      <x:c r="B29" s="50" t="str">
        <x:v>Facilities operations + AI</x:v>
      </x:c>
      <x:c r="C29" s="50" t="str">
        <x:v>Global commercial portfolios; FM services; retail; healthcare</x:v>
      </x:c>
      <x:c r="D29" s="50" t="str">
        <x:v>maintenance;inspections;asset_management;procurement;compliance</x:v>
      </x:c>
      <x:c r="E29" s="50" t="str">
        <x:v>Connected CMMS, asset lifecycle, preventive maintenance, inspections, work orders and AI agents.</x:v>
      </x:c>
      <x:c r="F29" s="50" t="str">
        <x:v>Vendor product documentation; performance unverified</x:v>
      </x:c>
      <x:c r="G29" s="50" t="str">
        <x:v>Numeric pricing not verified.</x:v>
      </x:c>
      <x:c r="H29" s="50" t="str">
        <x:v>Connected-operations platform; exact connector access not verified.</x:v>
      </x:c>
      <x:c r="I29" s="50" t="str">
        <x:v>Building-system connectivity and deployed asset metadata can be costly prerequisites.</x:v>
      </x:c>
      <x:c r="J29" s="50" t="str">
        <x:v>Cross-industry facilities automation can be a supplier or competitor to property-specific tools.</x:v>
      </x:c>
      <x:c r="K29" s="50" t="str">
        <x:v>https://facilio.com/</x:v>
      </x:c>
      <x:c r="L29" s="50" t="str">
        <x:v>Undated live page</x:v>
      </x:c>
      <x:c r="M29" s="53" t="n">
        <x:v>46280</x:v>
      </x:c>
      <x:c r="N29" s="2"/>
    </x:row>
    <x:row r="30" ht="47" customHeight="1">
      <x:c r="A30" s="50" t="str">
        <x:v>PetScreening</x:v>
      </x:c>
      <x:c r="B30" s="50" t="str">
        <x:v>Pet policy management</x:v>
      </x:c>
      <x:c r="C30" s="50" t="str">
        <x:v>Rental housing operators</x:v>
      </x:c>
      <x:c r="D30" s="50" t="str">
        <x:v>screening;resident_service;compliance</x:v>
      </x:c>
      <x:c r="E30" s="50" t="str">
        <x:v>Pet-policy management platform for housing operators.</x:v>
      </x:c>
      <x:c r="F30" s="50" t="str">
        <x:v>Vendor product documentation; performance unverified</x:v>
      </x:c>
      <x:c r="G30" s="50" t="str">
        <x:v>Pricing not verified.</x:v>
      </x:c>
      <x:c r="H30" s="50" t="str">
        <x:v>Exact integration rights not verified.</x:v>
      </x:c>
      <x:c r="I30" s="50" t="str">
        <x:v>Assistance-animal accommodation decisions require distinct treatment; product branding is not legal validation.</x:v>
      </x:c>
      <x:c r="J30" s="50" t="str">
        <x:v>Small but administratively intensive resident subworkflows can sustain specialist vendors.</x:v>
      </x:c>
      <x:c r="K30" s="50" t="str">
        <x:v>https://www.petscreening.com/</x:v>
      </x:c>
      <x:c r="L30" s="50" t="str">
        <x:v>Undated live page</x:v>
      </x:c>
      <x:c r="M30" s="53" t="n">
        <x:v>46280</x:v>
      </x:c>
      <x:c r="N30" s="2"/>
    </x:row>
    <x:row r="31" ht="47" customHeight="1">
      <x:c r="A31" s="50" t="str">
        <x:v>Obligo</x:v>
      </x:c>
      <x:c r="B31" s="50" t="str">
        <x:v>Deposit alternatives + administration AI</x:v>
      </x:c>
      <x:c r="C31" s="50" t="str">
        <x:v>Rental owners; managers; renters</x:v>
      </x:c>
      <x:c r="D31" s="50" t="str">
        <x:v>move_in;payments;move_out;compliance</x:v>
      </x:c>
      <x:c r="E31" s="50" t="str">
        <x:v>Deposit options and digital charge/refund flow; Deposit Agent announced for requirements, charges, refunds and disputes.</x:v>
      </x:c>
      <x:c r="F31" s="50" t="str">
        <x:v>Vendor product documentation + announcement; AI rollout not confirmed</x:v>
      </x:c>
      <x:c r="G31" s="50" t="str">
        <x:v>Pricing not verified.</x:v>
      </x:c>
      <x:c r="H31" s="50" t="str">
        <x:v>Announcement promises platform/API/MCP access for customers and embedded PMS partners.</x:v>
      </x:c>
      <x:c r="I31" s="50" t="str">
        <x:v>June 15 announcement said availability in coming months; do not classify as proven generally available execution.</x:v>
      </x:c>
      <x:c r="J31" s="50" t="str">
        <x:v>Deposit disposition is directly targeted by a funded adjacent specialist; validate actual feature gap before building.</x:v>
      </x:c>
      <x:c r="K31" s="50" t="str">
        <x:v>https://www.obligo.com/|https://www.obligo.com/blog/obligo-introduces-the-first-ai-agent-for-security-deposits</x:v>
      </x:c>
      <x:c r="L31" s="50" t="str">
        <x:v>2026-06-15 agent announcement</x:v>
      </x:c>
      <x:c r="M31" s="53" t="n">
        <x:v>46280</x:v>
      </x:c>
      <x:c r="N31" s="2"/>
    </x:row>
    <x:row r="32" ht="47" customHeight="1">
      <x:c r="A32" s="50" t="str">
        <x:v>TheGuarantors</x:v>
      </x:c>
      <x:c r="B32" s="50" t="str">
        <x:v>Lease guarantee + insurance</x:v>
      </x:c>
      <x:c r="C32" s="50" t="str">
        <x:v>Multifamily; SFR; student; independent owners</x:v>
      </x:c>
      <x:c r="D32" s="50" t="str">
        <x:v>screening;move_in;collections;compliance</x:v>
      </x:c>
      <x:c r="E32" s="50" t="str">
        <x:v>Renter underwriting paired with lease guarantees; default/damage/vacancy coverage and renters-insurance compliance.</x:v>
      </x:c>
      <x:c r="F32" s="50" t="str">
        <x:v>Vendor product documentation; outcomes unverified</x:v>
      </x:c>
      <x:c r="G32" s="50" t="str">
        <x:v>Product-specific pricing not verified.</x:v>
      </x:c>
      <x:c r="H32" s="50" t="str">
        <x:v>Lease Guarantee API and PMS integrations listed.</x:v>
      </x:c>
      <x:c r="I32" s="50" t="str">
        <x:v>Insurance exclusions, claim requirements and renter pricing matter more than headline automation.</x:v>
      </x:c>
      <x:c r="J32" s="50" t="str">
        <x:v>Risk transfer can change who qualifies and loss economics, not merely speed existing checks.</x:v>
      </x:c>
      <x:c r="K32" s="50" t="str">
        <x:v>https://www.theguarantors.com/</x:v>
      </x:c>
      <x:c r="L32" s="50" t="str">
        <x:v>Undated live page</x:v>
      </x:c>
      <x:c r="M32" s="53" t="n">
        <x:v>46280</x:v>
      </x:c>
      <x:c r="N32" s="2"/>
    </x:row>
    <x:row r="33" ht="60" customHeight="1">
      <x:c r="A33" s="50" t="str">
        <x:v>Findigs</x:v>
      </x:c>
      <x:c r="B33" s="50" t="str">
        <x:v>Screening + rental decisioning</x:v>
      </x:c>
      <x:c r="C33" s="50" t="str">
        <x:v>Rental housing operators</x:v>
      </x:c>
      <x:c r="D33" s="50" t="str">
        <x:v>screening;leasing;compliance</x:v>
      </x:c>
      <x:c r="E33" s="50" t="str">
        <x:v>Application verification, automated decisions and policy management; advertises individualized assessment and audit trail.</x:v>
      </x:c>
      <x:c r="F33" s="50" t="str">
        <x:v>Vendor product claims; fairness/compliance/outcomes not independently validated</x:v>
      </x:c>
      <x:c r="G33" s="50" t="str">
        <x:v>Pricing not verified.</x:v>
      </x:c>
      <x:c r="H33" s="50" t="str">
        <x:v>Integration details not established from reviewed homepage.</x:v>
      </x:c>
      <x:c r="I33" s="50" t="str">
        <x:v>Do not treat vendor claims as proof of legal compliance, lower bad debt or fair outcomes.</x:v>
      </x:c>
      <x:c r="J33" s="50" t="str">
        <x:v>Automating eligibility decisions is already offered; differentiation needs measured outcomes and defensible review.</x:v>
      </x:c>
      <x:c r="K33" s="50" t="str">
        <x:v>https://www.findigs.com/</x:v>
      </x:c>
      <x:c r="L33" s="50" t="str">
        <x:v>Undated live page</x:v>
      </x:c>
      <x:c r="M33" s="53" t="n">
        <x:v>46280</x:v>
      </x:c>
      <x:c r="N33" s="2"/>
    </x:row>
    <x:row r="34" ht="73" customHeight="1">
      <x:c r="A34" s="50" t="str">
        <x:v>LeadSimple</x:v>
      </x:c>
      <x:c r="B34" s="50" t="str">
        <x:v>Owner CRM + workflow/communications</x:v>
      </x:c>
      <x:c r="C34" s="50" t="str">
        <x:v>Residential fee managers</x:v>
      </x:c>
      <x:c r="D34" s="50" t="str">
        <x:v>owner_onboarding;leasing;move_in;resident_service;maintenance;inspections;turns;renewals</x:v>
      </x:c>
      <x:c r="E34" s="50" t="str">
        <x:v>Owner CRM, shared phone/inbox, timed workflows, escalation and AI; operations templates span owner onboarding to make-ready.</x:v>
      </x:c>
      <x:c r="F34" s="50" t="str">
        <x:v>Vendor product/pricing documentation; performance unverified</x:v>
      </x:c>
      <x:c r="G34" s="50" t="str">
        <x:v>Operations $1.35/door/month ($200 min; $1.55 monthly); Platform $2.99 ($500 min annual; $3.49 monthly).</x:v>
      </x:c>
      <x:c r="H34" s="50" t="str">
        <x:v>PMS triggers/integrations; Rent Manager help specifies hourly one-way object sync.</x:v>
      </x:c>
      <x:c r="I34" s="50" t="str">
        <x:v>A connection logo does not prove bidirectional real-time workflow execution.</x:v>
      </x:c>
      <x:c r="J34" s="50" t="str">
        <x:v>Generic follow-up and cross-workflow task coordination are already inexpensive specialist products.</x:v>
      </x:c>
      <x:c r="K34" s="50" t="str">
        <x:v>https://www.leadsimple.com/pricing|https://training.leadsimple.com/en/articles/8899456-detailed-overview-of-our-direct-api-integration-with-rent-manager</x:v>
      </x:c>
      <x:c r="L34" s="50" t="str">
        <x:v>2024-02-02 integration help article; live pricing undated</x:v>
      </x:c>
      <x:c r="M34" s="53" t="n">
        <x:v>46280</x:v>
      </x:c>
      <x:c r="N34" s="2"/>
    </x:row>
    <x:row r="35" ht="47" customHeight="1">
      <x:c r="A35" s="50" t="str">
        <x:v>Jones</x:v>
      </x:c>
      <x:c r="B35" s="50" t="str">
        <x:v>Insurance compliance automation</x:v>
      </x:c>
      <x:c r="C35" s="50" t="str">
        <x:v>Commercial real estate; construction</x:v>
      </x:c>
      <x:c r="D35" s="50" t="str">
        <x:v>procurement;compliance</x:v>
      </x:c>
      <x:c r="E35" s="50" t="str">
        <x:v>Collects insurance documents, checks coverage against requirements, follows up on gaps and tracks renewals.</x:v>
      </x:c>
      <x:c r="F35" s="50" t="str">
        <x:v>Vendor product documentation; accuracy claims unverified</x:v>
      </x:c>
      <x:c r="G35" s="50" t="str">
        <x:v>Pricing not verified.</x:v>
      </x:c>
      <x:c r="H35" s="50" t="str">
        <x:v>MRI partner page describes embedded requests, audits and expiration monitoring.</x:v>
      </x:c>
      <x:c r="I35" s="50" t="str">
        <x:v>COI collection alone does not resolve all contractual insurance or actual coverage questions.</x:v>
      </x:c>
      <x:c r="J35" s="50" t="str">
        <x:v>Document-driven third-party compliance with external follow-up already has strong focused competition.</x:v>
      </x:c>
      <x:c r="K35" s="50" t="str">
        <x:v>https://getjones.com/|https://www.mrisoftware.com/partners/jones-software/</x:v>
      </x:c>
      <x:c r="L35" s="50" t="str">
        <x:v>Undated live pages</x:v>
      </x:c>
      <x:c r="M35" s="53" t="n">
        <x:v>46280</x:v>
      </x:c>
      <x:c r="N35" s="2"/>
    </x:row>
    <x:row r="36" ht="47" customHeight="1">
      <x:c r="A36" s="50" t="str">
        <x:v>Fixflo</x:v>
      </x:c>
      <x:c r="B36" s="50" t="str">
        <x:v>Repairs + planned maintenance</x:v>
      </x:c>
      <x:c r="C36" s="50" t="str">
        <x:v>UK lettings; blocks; BTR; commercial</x:v>
      </x:c>
      <x:c r="D36" s="50" t="str">
        <x:v>maintenance;procurement;compliance;resident_service</x:v>
      </x:c>
      <x:c r="E36" s="50" t="str">
        <x:v>Repair reporting, communications, planned maintenance and contractor instructions; contractor marketplace.</x:v>
      </x:c>
      <x:c r="F36" s="50" t="str">
        <x:v>Vendor product/pricing documentation; performance unverified</x:v>
      </x:c>
      <x:c r="G36" s="50" t="str">
        <x:v>Quoted portfolio pricing plus software fee; exact current plan fee should be reconfirmed.</x:v>
      </x:c>
      <x:c r="H36" s="50" t="str">
        <x:v>Integrations marketed; exact API rights not inspected.</x:v>
      </x:c>
      <x:c r="I36" s="50" t="str">
        <x:v>UK service standards/regulation and contractor geography do not automatically transfer to US.</x:v>
      </x:c>
      <x:c r="J36" s="50" t="str">
        <x:v>UK block/commercial repair practices supply useful comparisons, not an assumption of US whitespace.</x:v>
      </x:c>
      <x:c r="K36" s="50" t="str">
        <x:v>https://www.fixflo.com/features|https://www.fixflo.com/pricing/lettings|https://www.fixflo.com/features/contractor-marketplace</x:v>
      </x:c>
      <x:c r="L36" s="50" t="str">
        <x:v>Undated live pages</x:v>
      </x:c>
      <x:c r="M36" s="53" t="n">
        <x:v>46280</x:v>
      </x:c>
      <x:c r="N36" s="2"/>
    </x:row>
    <x:row r="37" ht="60" customHeight="1">
      <x:c r="A37" s="50" t="str">
        <x:v>APM Help</x:v>
      </x:c>
      <x:c r="B37" s="50" t="str">
        <x:v>Managed accounting + software consulting</x:v>
      </x:c>
      <x:c r="C37" s="50" t="str">
        <x:v>Residential property managers</x:v>
      </x:c>
      <x:c r="D37" s="50" t="str">
        <x:v>accounting;payments;compliance</x:v>
      </x:c>
      <x:c r="E37" s="50" t="str">
        <x:v>Trust bookkeeping with AP/AR and daily reconciliations; corporate books, cleanup, consulting and 1099 services.</x:v>
      </x:c>
      <x:c r="F37" s="50" t="str">
        <x:v>Vendor service/pricing documentation; audit-success claims unverified</x:v>
      </x:c>
      <x:c r="G37" s="50" t="str">
        <x:v>Cleanup depends on book condition; recurring pricing scales with unit count; numeric quote not published on reviewed pages.</x:v>
      </x:c>
      <x:c r="H37" s="50" t="str">
        <x:v>Teams specialize in AppFolio, Buildium, Rentvine and Propertyware; corporate QuickBooks Online.</x:v>
      </x:c>
      <x:c r="I37" s="50" t="str">
        <x:v>Payment-release responsibilities and guarantee exclusions need contract verification.</x:v>
      </x:c>
      <x:c r="J37" s="50" t="str">
        <x:v>Competes on completed accounting work; future AI savings must beat outsourced service economics.</x:v>
      </x:c>
      <x:c r="K37" s="50" t="str">
        <x:v>https://www.apmhelp.com/|https://www.apmhelp.com/services</x:v>
      </x:c>
      <x:c r="L37" s="50" t="str">
        <x:v>Undated live pages</x:v>
      </x:c>
      <x:c r="M37" s="53" t="n">
        <x:v>46280</x:v>
      </x:c>
      <x:c r="N37" s="2"/>
    </x:row>
    <x:row r="38" ht="47" customHeight="1">
      <x:c r="A38" s="50" t="str">
        <x:v>OJO Bookkeeping</x:v>
      </x:c>
      <x:c r="B38" s="50" t="str">
        <x:v>Managed property bookkeeping</x:v>
      </x:c>
      <x:c r="C38" s="50" t="str">
        <x:v>Residential; commercial; HOA managers</x:v>
      </x:c>
      <x:c r="D38" s="50" t="str">
        <x:v>accounting;payments;compliance</x:v>
      </x:c>
      <x:c r="E38" s="50" t="str">
        <x:v>Dedicated bookkeeping, supervision and audit support; trust/management books and three-way reconciliation cleanup.</x:v>
      </x:c>
      <x:c r="F38" s="50" t="str">
        <x:v>Vendor service/pricing documentation; savings and quality unverified</x:v>
      </x:c>
      <x:c r="G38" s="50" t="str">
        <x:v>$34/hour ongoing; $45/hour cleanup/software setup; cancel-anytime and 30-day guarantee advertised.</x:v>
      </x:c>
      <x:c r="H38" s="50" t="str">
        <x:v>AppFolio, Buildium, Rentvine, QuickBooks and Xero expertise; customer permissions require confirmation.</x:v>
      </x:c>
      <x:c r="I38" s="50" t="str">
        <x:v>Hours needed, responsibility split and guarantee terms unverified; this is OJO Bookkeeping, not unrelated OJO businesses.</x:v>
      </x:c>
      <x:c r="J38" s="50" t="str">
        <x:v>Visible outsourced labor rate gives a real comparator for accounting automation ROI.</x:v>
      </x:c>
      <x:c r="K38" s="50" t="str">
        <x:v>https://ojobookkeeping.com/</x:v>
      </x:c>
      <x:c r="L38" s="50" t="str">
        <x:v>Undated live page</x:v>
      </x:c>
      <x:c r="M38" s="53" t="n">
        <x:v>46280</x:v>
      </x:c>
      <x:c r="N38" s="2"/>
    </x:row>
    <x:row r="39" ht="60" customHeight="1">
      <x:c r="A39" s="50" t="str">
        <x:v>Second Nature</x:v>
      </x:c>
      <x:c r="B39" s="50" t="str">
        <x:v>Managed resident services + onboarding</x:v>
      </x:c>
      <x:c r="C39" s="50" t="str">
        <x:v>Rental property managers</x:v>
      </x:c>
      <x:c r="D39" s="50" t="str">
        <x:v>move_in;resident_service;maintenance;compliance</x:v>
      </x:c>
      <x:c r="E39" s="50" t="str">
        <x:v>Resident onboarding and configurable benefits; filter delivery, credit building, insurance and identity protection; Maestro workflow personalization.</x:v>
      </x:c>
      <x:c r="F39" s="50" t="str">
        <x:v>Vendor product/service documentation; savings and resident outcomes unverified</x:v>
      </x:c>
      <x:c r="G39" s="50" t="str">
        <x:v>No universal numeric wholesale or resident package price verified; packages are configurable.</x:v>
      </x:c>
      <x:c r="H39" s="50" t="str">
        <x:v>Managed setup of leases, ledgers and benefits; exact external API rights not verified.</x:v>
      </x:c>
      <x:c r="I39" s="50" t="str">
        <x:v>Resident fee, choice, exclusions and actual use must be assessed; manager revenue alone does not establish resident value.</x:v>
      </x:c>
      <x:c r="J39" s="50" t="str">
        <x:v>Can replace administrative work and prevent some requests; competes through service bundling, not standalone AI.</x:v>
      </x:c>
      <x:c r="K39" s="50" t="str">
        <x:v>https://www.secondnature.com/|https://www.secondnature.com/benefits</x:v>
      </x:c>
      <x:c r="L39" s="50" t="str">
        <x:v>Undated live pages</x:v>
      </x:c>
      <x:c r="M39" s="53" t="n">
        <x:v>46280</x:v>
      </x:c>
      <x:c r="N39" s="2"/>
    </x:row>
    <x:row r="40" ht="60" customHeight="1">
      <x:c r="A40" s="50" t="str">
        <x:v>Mezo (now Property Meld)</x:v>
      </x:c>
      <x:c r="B40" s="50" t="str">
        <x:v>Acquired maintenance AI lineage</x:v>
      </x:c>
      <x:c r="C40" s="50" t="str">
        <x:v>Residential maintenance</x:v>
      </x:c>
      <x:c r="D40" s="50" t="str">
        <x:v>maintenance</x:v>
      </x:c>
      <x:c r="E40" s="50" t="str">
        <x:v>MAX intake, triage and mitigation technology acquired by Property Meld; now presented within Meld/MAX On-Call.</x:v>
      </x:c>
      <x:c r="F40" s="50" t="str">
        <x:v>Acquirer announcement and current integration page; not an additional independent competitor</x:v>
      </x:c>
      <x:c r="G40" s="50" t="str">
        <x:v>No separate current Mezo price; refer to current Property Meld packages.</x:v>
      </x:c>
      <x:c r="H40" s="50" t="str">
        <x:v>Property Meld product integration; no separate new-vendor access established.</x:v>
      </x:c>
      <x:c r="I40" s="50" t="str">
        <x:v>Acquired January 2025; legacy Mezo case studies are not independent current competition or verified outcomes.</x:v>
      </x:c>
      <x:c r="J40" s="50" t="str">
        <x:v>Count as lineage showing specialist acquisition by an operating platform, not an extra independent market participant.</x:v>
      </x:c>
      <x:c r="K40" s="50" t="str">
        <x:v>https://propertymeld.com/property-meld-mezo/|https://propertymeld.com/blog/property-meld-acquires-mezo-advancing-ai-driven-property-maintenance-operations/</x:v>
      </x:c>
      <x:c r="L40" s="50" t="str">
        <x:v>2025-01-14 acquisition; current product page undated</x:v>
      </x:c>
      <x:c r="M40" s="53" t="n">
        <x:v>46280</x:v>
      </x:c>
      <x:c r="N40" s="2"/>
    </x:row>
    <x:row r="41" ht="60" customHeight="1">
      <x:c r="A41" s="50" t="str">
        <x:v>Conservice</x:v>
      </x:c>
      <x:c r="B41" s="50" t="str">
        <x:v>Managed utility operations + software</x:v>
      </x:c>
      <x:c r="C41" s="50" t="str">
        <x:v>Multifamily; commercial; SFR; student; manufactured; military</x:v>
      </x:c>
      <x:c r="D41" s="50" t="str">
        <x:v>utilities;accounting;payments;compliance;procurement</x:v>
      </x:c>
      <x:c r="E41" s="50" t="str">
        <x:v>Utility invoice administration, expense recovery, meters, analysis, contracts, energy procurement and sustainability services.</x:v>
      </x:c>
      <x:c r="F41" s="50" t="str">
        <x:v>Vendor service documentation; savings and guarantee performance unverified</x:v>
      </x:c>
      <x:c r="G41" s="50" t="str">
        <x:v>Numeric price not published on reviewed pages; quote needed.</x:v>
      </x:c>
      <x:c r="H41" s="50" t="str">
        <x:v>PMS integrations and reporting portal advertised; exact interfaces not verified.</x:v>
      </x:c>
      <x:c r="I41" s="50" t="str">
        <x:v>Reduced consumption/cost and shifting bills to residents are different outcomes; validate authorized allocation and service contract.</x:v>
      </x:c>
      <x:c r="J41" s="50" t="str">
        <x:v>Utility management has a substantive people-plus-software competitor, not just PMS billing modules.</x:v>
      </x:c>
      <x:c r="K41" s="50" t="str">
        <x:v>https://www.conservice.com/|https://www.conservice.com/solutions/expense-management/|https://www.conservice.com/solutions/expense-recovery/</x:v>
      </x:c>
      <x:c r="L41" s="50" t="str">
        <x:v>Undated live pages</x:v>
      </x:c>
      <x:c r="M41" s="53" t="n">
        <x:v>46280</x:v>
      </x:c>
      <x:c r="N41" s="2"/>
    </x:row>
    <x:row r="42" ht="60" customHeight="1">
      <x:c r="A42" s="50" t="str">
        <x:v>AvidXchange</x:v>
      </x:c>
      <x:c r="B42" s="50" t="str">
        <x:v>AP automation + managed payment infrastructure</x:v>
      </x:c>
      <x:c r="C42" s="50" t="str">
        <x:v>Real estate managers; community associations; other industries</x:v>
      </x:c>
      <x:c r="D42" s="50" t="str">
        <x:v>procurement;accounting;payments</x:v>
      </x:c>
      <x:c r="E42" s="50" t="str">
        <x:v>Purchase orders, invoice processing, approvals, two/three-way matching and supplier payments; embedded AP infrastructure offered to ERPs.</x:v>
      </x:c>
      <x:c r="F42" s="50" t="str">
        <x:v>Vendor product/integration documentation; performance unverified</x:v>
      </x:c>
      <x:c r="G42" s="50" t="str">
        <x:v>Numeric quote not published on reviewed pages.</x:v>
      </x:c>
      <x:c r="H42" s="50" t="str">
        <x:v>API or file integrations depending on accounting system; exchanges invoices, GL codes, suppliers, receipts, payments and POs.</x:v>
      </x:c>
      <x:c r="I42" s="50" t="str">
        <x:v>Confirm actual integration method and latency; approval controls and fee allocation vary by agreement.</x:v>
      </x:c>
      <x:c r="J42" s="50" t="str">
        <x:v>An invoice agent competes with mature workflow/payment infrastructure and existing supplier networks.</x:v>
      </x:c>
      <x:c r="K42" s="50" t="str">
        <x:v>https://www.avidxchange.com/|https://www.avidxchange.com/solutions/avidsuite-for-real-estate/</x:v>
      </x:c>
      <x:c r="L42" s="50" t="str">
        <x:v>Undated live pages</x:v>
      </x:c>
      <x:c r="M42" s="53" t="n">
        <x:v>46280</x:v>
      </x:c>
      <x:c r="N42" s="2"/>
    </x:row>
    <x:row r="43" ht="60" customHeight="1">
      <x:c r="A43" s="50" t="str">
        <x:v>Vendoroo</x:v>
      </x:c>
      <x:c r="B43" s="50" t="str">
        <x:v>Maintenance AI + managed human support</x:v>
      </x:c>
      <x:c r="C43" s="50" t="str">
        <x:v>Residential property managers; own-vendor and onsite-tech models</x:v>
      </x:c>
      <x:c r="D43" s="50" t="str">
        <x:v>resident_service;maintenance;procurement;accounting</x:v>
      </x:c>
      <x:c r="E43" s="50" t="str">
        <x:v>AI intake/dispatch/scheduling/invoice collection; Command adds human vendor failover and owner communication/approvals.</x:v>
      </x:c>
      <x:c r="F43" s="50" t="str">
        <x:v>Vendor pricing/product and PMS-partner documentation; performance unverified</x:v>
      </x:c>
      <x:c r="G43" s="50" t="str">
        <x:v>Coordinators/vendors plans: Engage $3/unit/month, Direct $6; each $400 minimum with annual billing; Command custom.</x:v>
      </x:c>
      <x:c r="H43" s="50" t="str">
        <x:v>Own vendors supported; Rent Manager partner listing confirms integration offering; exact write guarantees not tested.</x:v>
      </x:c>
      <x:c r="I43" s="50" t="str">
        <x:v>Smart estimates marked coming soon; marketed guarantees require contract review; full turn-date accountability not established.</x:v>
      </x:c>
      <x:c r="J43" s="50" t="str">
        <x:v>Direct comparator for AI service using customer vendors and human exception support; must enter buy-versus-build test.</x:v>
      </x:c>
      <x:c r="K43" s="50" t="str">
        <x:v>https://www.vendoroo.ai/|https://www.vendoroo.ai/pricing-vendors|https://www.rentmanager.com/integrations/vendoroo/</x:v>
      </x:c>
      <x:c r="L43" s="50" t="str">
        <x:v>Undated live pages</x:v>
      </x:c>
      <x:c r="M43" s="53" t="n">
        <x:v>46280</x:v>
      </x:c>
      <x:c r="N43" s="2"/>
    </x:row>
    <x:row r="44" ht="47" customHeight="1">
      <x:c r="A44" s="50" t="str">
        <x:v>Proper</x:v>
      </x:c>
      <x:c r="B44" s="50" t="str">
        <x:v>AI-assisted managed property accounting</x:v>
      </x:c>
      <x:c r="C44" s="50" t="str">
        <x:v>Residential and commercial property/asset managers</x:v>
      </x:c>
      <x:c r="D44" s="50" t="str">
        <x:v>accounting;payments;move_in;move_out;compliance</x:v>
      </x:c>
      <x:c r="E44" s="50" t="str">
        <x:v>Staffed property accounting with AI; AP/AR, trust reconciliation, move-in/out accounting and process/control setup.</x:v>
      </x:c>
      <x:c r="F44" s="50" t="str">
        <x:v>Vendor service documentation; cost-savings claims unverified</x:v>
      </x:c>
      <x:c r="G44" s="50" t="str">
        <x:v>Quote; service page references residential units, commercial square footage and asset class; no numeric rate.</x:v>
      </x:c>
      <x:c r="H44" s="50" t="str">
        <x:v>Works in property accounting systems; detailed permissions and API arrangements unverified.</x:v>
      </x:c>
      <x:c r="I44" s="50" t="str">
        <x:v>AI-enabled staffing claim does not establish automation share, margins or error rates.</x:v>
      </x:c>
      <x:c r="J44" s="50" t="str">
        <x:v>AI plus an accountable service team is already an operating accounting business model.</x:v>
      </x:c>
      <x:c r="K44" s="50" t="str">
        <x:v>https://www.proper.ai/|https://www.proper.ai/how-it-works</x:v>
      </x:c>
      <x:c r="L44" s="50" t="str">
        <x:v>Undated live pages</x:v>
      </x:c>
      <x:c r="M44" s="53" t="n">
        <x:v>46280</x:v>
      </x:c>
      <x:c r="N44" s="2"/>
    </x:row>
  </x:sheetData>
  <x:pageMargins left="0.7" right="0.7" top="0.75" bottom="0.75" header="0.3" footer="0.3"/>
  <x:tableParts count="1">
    <x:tablePart xmlns:r="http://schemas.openxmlformats.org/officeDocument/2006/relationships" r:id="Rd82ca637687b4fa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18" hidden="0" customWidth="1"/>
    <x:col min="5" max="5" width="40" hidden="0" customWidth="1"/>
    <x:col min="6" max="6" width="40" hidden="0" customWidth="1"/>
    <x:col min="7" max="7" width="65" hidden="0" customWidth="1"/>
    <x:col min="8" max="8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Independent public-data analysis</x:v>
      </x:c>
      <x:c r="B2" s="3"/>
      <x:c r="C2" s="2"/>
      <x:c r="D2" s="2"/>
      <x:c r="E2" s="2"/>
      <x:c r="F2" s="2"/>
      <x:c r="G2" s="2"/>
      <x:c r="H2" s="2"/>
      <x:c r="I2" s="2"/>
    </x:row>
    <x:row r="3">
      <x:c r="A3" s="2"/>
      <x:c r="B3" s="4"/>
      <x:c r="C3" s="4"/>
      <x:c r="D3" s="4"/>
      <x:c r="E3" s="4"/>
      <x:c r="F3" s="4"/>
      <x:c r="G3" s="4"/>
      <x:c r="H3" s="4"/>
      <x:c r="I3" s="2"/>
    </x:row>
    <x:row r="4">
      <x:c r="A4" s="2" t="str">
        <x:v>106 records. Filter the headers and scroll right for full detail.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43" t="str">
        <x:v>group</x:v>
      </x:c>
      <x:c r="B6" s="43" t="str">
        <x:v>category</x:v>
      </x:c>
      <x:c r="C6" s="43" t="str">
        <x:v>measure</x:v>
      </x:c>
      <x:c r="D6" s="43" t="str">
        <x:v>value</x:v>
      </x:c>
      <x:c r="E6" s="43" t="str">
        <x:v>status</x:v>
      </x:c>
      <x:c r="F6" s="43" t="str">
        <x:v>period</x:v>
      </x:c>
      <x:c r="G6" s="43" t="str">
        <x:v>source url</x:v>
      </x:c>
      <x:c r="H6" s="43" t="str">
        <x:v>notes</x:v>
      </x:c>
      <x:c r="I6" s="2"/>
    </x:row>
    <x:row r="7" ht="47" customHeight="1">
      <x:c r="A7" s="50" t="str">
        <x:v>RHFS size</x:v>
      </x:c>
      <x:c r="B7" s="50" t="str">
        <x:v>1 unit</x:v>
      </x:c>
      <x:c r="C7" s="50" t="str">
        <x:v>records</x:v>
      </x:c>
      <x:c r="D7" s="54" t="n">
        <x:v>377</x:v>
      </x:c>
      <x:c r="E7" s="50" t="str">
        <x:v>Independent descriptive calculation</x:v>
      </x:c>
      <x:c r="F7" s="50" t="str">
        <x:v>2024 survey; financial reference 2023</x:v>
      </x:c>
      <x:c r="G7" s="50" t="str">
        <x:v>https://www2.census.gov/programs-surveys/rhfs/data/public-use-files/2024/rhfspuf2024.csv</x:v>
      </x:c>
      <x:c r="H7" s="50" t="str">
        <x:v>Descriptive survey-weighted point estimates; no confidence intervals. Not Census-endorsed estimates.</x:v>
      </x:c>
      <x:c r="I7" s="2"/>
    </x:row>
    <x:row r="8" ht="47" customHeight="1">
      <x:c r="A8" s="50" t="str">
        <x:v>RHFS size</x:v>
      </x:c>
      <x:c r="B8" s="50" t="str">
        <x:v>1 unit</x:v>
      </x:c>
      <x:c r="C8" s="50" t="str">
        <x:v>properties</x:v>
      </x:c>
      <x:c r="D8" s="54" t="n">
        <x:v>15713999.99996646</x:v>
      </x:c>
      <x:c r="E8" s="50" t="str">
        <x:v>Independent descriptive calculation</x:v>
      </x:c>
      <x:c r="F8" s="50" t="str">
        <x:v>2024 survey; financial reference 2023</x:v>
      </x:c>
      <x:c r="G8" s="50" t="str">
        <x:v>https://www2.census.gov/programs-surveys/rhfs/data/public-use-files/2024/rhfspuf2024.csv</x:v>
      </x:c>
      <x:c r="H8" s="50" t="str">
        <x:v>Descriptive survey-weighted point estimates; no confidence intervals. Not Census-endorsed estimates.</x:v>
      </x:c>
      <x:c r="I8" s="2"/>
    </x:row>
    <x:row r="9" ht="47" customHeight="1">
      <x:c r="A9" s="50" t="str">
        <x:v>RHFS size</x:v>
      </x:c>
      <x:c r="B9" s="50" t="str">
        <x:v>1 unit</x:v>
      </x:c>
      <x:c r="C9" s="50" t="str">
        <x:v>units_puf</x:v>
      </x:c>
      <x:c r="D9" s="54" t="n">
        <x:v>15713999.99996646</x:v>
      </x:c>
      <x:c r="E9" s="50" t="str">
        <x:v>Independent descriptive calculation</x:v>
      </x:c>
      <x:c r="F9" s="50" t="str">
        <x:v>2024 survey; financial reference 2023</x:v>
      </x:c>
      <x:c r="G9" s="50" t="str">
        <x:v>https://www2.census.gov/programs-surveys/rhfs/data/public-use-files/2024/rhfspuf2024.csv</x:v>
      </x:c>
      <x:c r="H9" s="50" t="str">
        <x:v>Descriptive survey-weighted point estimates; no confidence intervals. Not Census-endorsed estimates.</x:v>
      </x:c>
      <x:c r="I9" s="2"/>
    </x:row>
    <x:row r="10" ht="47" customHeight="1">
      <x:c r="A10" s="50" t="str">
        <x:v>RHFS size</x:v>
      </x:c>
      <x:c r="B10" s="50" t="str">
        <x:v>1 unit</x:v>
      </x:c>
      <x:c r="C10" s="50" t="str">
        <x:v>share_properties</x:v>
      </x:c>
      <x:c r="D10" s="55" t="n">
        <x:v>0.8285975665933718</x:v>
      </x:c>
      <x:c r="E10" s="50" t="str">
        <x:v>Independent descriptive calculation</x:v>
      </x:c>
      <x:c r="F10" s="50" t="str">
        <x:v>2024 survey; financial reference 2023</x:v>
      </x:c>
      <x:c r="G10" s="50" t="str">
        <x:v>https://www2.census.gov/programs-surveys/rhfs/data/public-use-files/2024/rhfspuf2024.csv</x:v>
      </x:c>
      <x:c r="H10" s="50" t="str">
        <x:v>Descriptive survey-weighted point estimates; no confidence intervals. Not Census-endorsed estimates.</x:v>
      </x:c>
      <x:c r="I10" s="2"/>
    </x:row>
    <x:row r="11" ht="47" customHeight="1">
      <x:c r="A11" s="50" t="str">
        <x:v>RHFS size</x:v>
      </x:c>
      <x:c r="B11" s="50" t="str">
        <x:v>1 unit</x:v>
      </x:c>
      <x:c r="C11" s="50" t="str">
        <x:v>share_units_puf</x:v>
      </x:c>
      <x:c r="D11" s="55" t="n">
        <x:v>0.3149402938571552</x:v>
      </x:c>
      <x:c r="E11" s="50" t="str">
        <x:v>Independent descriptive calculation</x:v>
      </x:c>
      <x:c r="F11" s="50" t="str">
        <x:v>2024 survey; financial reference 2023</x:v>
      </x:c>
      <x:c r="G11" s="50" t="str">
        <x:v>https://www2.census.gov/programs-surveys/rhfs/data/public-use-files/2024/rhfspuf2024.csv</x:v>
      </x:c>
      <x:c r="H11" s="50" t="str">
        <x:v>Descriptive survey-weighted point estimates; no confidence intervals. Not Census-endorsed estimates.</x:v>
      </x:c>
      <x:c r="I11" s="2"/>
    </x:row>
    <x:row r="12" ht="47" customHeight="1">
      <x:c r="A12" s="50" t="str">
        <x:v>RHFS size</x:v>
      </x:c>
      <x:c r="B12" s="50" t="str">
        <x:v>2–4 units</x:v>
      </x:c>
      <x:c r="C12" s="50" t="str">
        <x:v>records</x:v>
      </x:c>
      <x:c r="D12" s="54" t="n">
        <x:v>448</x:v>
      </x:c>
      <x:c r="E12" s="50" t="str">
        <x:v>Independent descriptive calculation</x:v>
      </x:c>
      <x:c r="F12" s="50" t="str">
        <x:v>2024 survey; financial reference 2023</x:v>
      </x:c>
      <x:c r="G12" s="50" t="str">
        <x:v>https://www2.census.gov/programs-surveys/rhfs/data/public-use-files/2024/rhfspuf2024.csv</x:v>
      </x:c>
      <x:c r="H12" s="50" t="str">
        <x:v>Descriptive survey-weighted point estimates; no confidence intervals. Not Census-endorsed estimates.</x:v>
      </x:c>
      <x:c r="I12" s="2"/>
    </x:row>
    <x:row r="13" ht="47" customHeight="1">
      <x:c r="A13" s="50" t="str">
        <x:v>RHFS size</x:v>
      </x:c>
      <x:c r="B13" s="50" t="str">
        <x:v>2–4 units</x:v>
      </x:c>
      <x:c r="C13" s="50" t="str">
        <x:v>properties</x:v>
      </x:c>
      <x:c r="D13" s="54" t="n">
        <x:v>2765914.91200245</x:v>
      </x:c>
      <x:c r="E13" s="50" t="str">
        <x:v>Independent descriptive calculation</x:v>
      </x:c>
      <x:c r="F13" s="50" t="str">
        <x:v>2024 survey; financial reference 2023</x:v>
      </x:c>
      <x:c r="G13" s="50" t="str">
        <x:v>https://www2.census.gov/programs-surveys/rhfs/data/public-use-files/2024/rhfspuf2024.csv</x:v>
      </x:c>
      <x:c r="H13" s="50" t="str">
        <x:v>Descriptive survey-weighted point estimates; no confidence intervals. Not Census-endorsed estimates.</x:v>
      </x:c>
      <x:c r="I13" s="2"/>
    </x:row>
    <x:row r="14" ht="47" customHeight="1">
      <x:c r="A14" s="50" t="str">
        <x:v>RHFS size</x:v>
      </x:c>
      <x:c r="B14" s="50" t="str">
        <x:v>2–4 units</x:v>
      </x:c>
      <x:c r="C14" s="50" t="str">
        <x:v>units_puf</x:v>
      </x:c>
      <x:c r="D14" s="54" t="n">
        <x:v>7703999.99998375</x:v>
      </x:c>
      <x:c r="E14" s="50" t="str">
        <x:v>Independent descriptive calculation</x:v>
      </x:c>
      <x:c r="F14" s="50" t="str">
        <x:v>2024 survey; financial reference 2023</x:v>
      </x:c>
      <x:c r="G14" s="50" t="str">
        <x:v>https://www2.census.gov/programs-surveys/rhfs/data/public-use-files/2024/rhfspuf2024.csv</x:v>
      </x:c>
      <x:c r="H14" s="50" t="str">
        <x:v>Descriptive survey-weighted point estimates; no confidence intervals. Not Census-endorsed estimates.</x:v>
      </x:c>
      <x:c r="I14" s="2"/>
    </x:row>
    <x:row r="15" ht="47" customHeight="1">
      <x:c r="A15" s="50" t="str">
        <x:v>RHFS size</x:v>
      </x:c>
      <x:c r="B15" s="50" t="str">
        <x:v>2–4 units</x:v>
      </x:c>
      <x:c r="C15" s="50" t="str">
        <x:v>share_properties</x:v>
      </x:c>
      <x:c r="D15" s="55" t="n">
        <x:v>0.1458464022842333</x:v>
      </x:c>
      <x:c r="E15" s="50" t="str">
        <x:v>Independent descriptive calculation</x:v>
      </x:c>
      <x:c r="F15" s="50" t="str">
        <x:v>2024 survey; financial reference 2023</x:v>
      </x:c>
      <x:c r="G15" s="50" t="str">
        <x:v>https://www2.census.gov/programs-surveys/rhfs/data/public-use-files/2024/rhfspuf2024.csv</x:v>
      </x:c>
      <x:c r="H15" s="50" t="str">
        <x:v>Descriptive survey-weighted point estimates; no confidence intervals. Not Census-endorsed estimates.</x:v>
      </x:c>
      <x:c r="I15" s="2"/>
    </x:row>
    <x:row r="16" ht="47" customHeight="1">
      <x:c r="A16" s="50" t="str">
        <x:v>RHFS size</x:v>
      </x:c>
      <x:c r="B16" s="50" t="str">
        <x:v>2–4 units</x:v>
      </x:c>
      <x:c r="C16" s="50" t="str">
        <x:v>share_units_puf</x:v>
      </x:c>
      <x:c r="D16" s="55" t="n">
        <x:v>0.15440371795059088</x:v>
      </x:c>
      <x:c r="E16" s="50" t="str">
        <x:v>Independent descriptive calculation</x:v>
      </x:c>
      <x:c r="F16" s="50" t="str">
        <x:v>2024 survey; financial reference 2023</x:v>
      </x:c>
      <x:c r="G16" s="50" t="str">
        <x:v>https://www2.census.gov/programs-surveys/rhfs/data/public-use-files/2024/rhfspuf2024.csv</x:v>
      </x:c>
      <x:c r="H16" s="50" t="str">
        <x:v>Descriptive survey-weighted point estimates; no confidence intervals. Not Census-endorsed estimates.</x:v>
      </x:c>
      <x:c r="I16" s="2"/>
    </x:row>
    <x:row r="17" ht="47" customHeight="1">
      <x:c r="A17" s="50" t="str">
        <x:v>RHFS size</x:v>
      </x:c>
      <x:c r="B17" s="50" t="str">
        <x:v>5–24 units</x:v>
      </x:c>
      <x:c r="C17" s="50" t="str">
        <x:v>records</x:v>
      </x:c>
      <x:c r="D17" s="54" t="n">
        <x:v>662</x:v>
      </x:c>
      <x:c r="E17" s="50" t="str">
        <x:v>Independent descriptive calculation</x:v>
      </x:c>
      <x:c r="F17" s="50" t="str">
        <x:v>2024 survey; financial reference 2023</x:v>
      </x:c>
      <x:c r="G17" s="50" t="str">
        <x:v>https://www2.census.gov/programs-surveys/rhfs/data/public-use-files/2024/rhfspuf2024.csv</x:v>
      </x:c>
      <x:c r="H17" s="50" t="str">
        <x:v>Descriptive survey-weighted point estimates; no confidence intervals. Not Census-endorsed estimates.</x:v>
      </x:c>
      <x:c r="I17" s="2"/>
    </x:row>
    <x:row r="18" ht="47" customHeight="1">
      <x:c r="A18" s="50" t="str">
        <x:v>RHFS size</x:v>
      </x:c>
      <x:c r="B18" s="50" t="str">
        <x:v>5–24 units</x:v>
      </x:c>
      <x:c r="C18" s="50" t="str">
        <x:v>properties</x:v>
      </x:c>
      <x:c r="D18" s="54" t="n">
        <x:v>329560.301527704</x:v>
      </x:c>
      <x:c r="E18" s="50" t="str">
        <x:v>Independent descriptive calculation</x:v>
      </x:c>
      <x:c r="F18" s="50" t="str">
        <x:v>2024 survey; financial reference 2023</x:v>
      </x:c>
      <x:c r="G18" s="50" t="str">
        <x:v>https://www2.census.gov/programs-surveys/rhfs/data/public-use-files/2024/rhfspuf2024.csv</x:v>
      </x:c>
      <x:c r="H18" s="50" t="str">
        <x:v>Descriptive survey-weighted point estimates; no confidence intervals. Not Census-endorsed estimates.</x:v>
      </x:c>
      <x:c r="I18" s="2"/>
    </x:row>
    <x:row r="19" ht="47" customHeight="1">
      <x:c r="A19" s="50" t="str">
        <x:v>RHFS size</x:v>
      </x:c>
      <x:c r="B19" s="50" t="str">
        <x:v>5–24 units</x:v>
      </x:c>
      <x:c r="C19" s="50" t="str">
        <x:v>units_puf</x:v>
      </x:c>
      <x:c r="D19" s="54" t="n">
        <x:v>4091000.000005514</x:v>
      </x:c>
      <x:c r="E19" s="50" t="str">
        <x:v>Independent descriptive calculation</x:v>
      </x:c>
      <x:c r="F19" s="50" t="str">
        <x:v>2024 survey; financial reference 2023</x:v>
      </x:c>
      <x:c r="G19" s="50" t="str">
        <x:v>https://www2.census.gov/programs-surveys/rhfs/data/public-use-files/2024/rhfspuf2024.csv</x:v>
      </x:c>
      <x:c r="H19" s="50" t="str">
        <x:v>Descriptive survey-weighted point estimates; no confidence intervals. Not Census-endorsed estimates.</x:v>
      </x:c>
      <x:c r="I19" s="2"/>
    </x:row>
    <x:row r="20" ht="47" customHeight="1">
      <x:c r="A20" s="50" t="str">
        <x:v>RHFS size</x:v>
      </x:c>
      <x:c r="B20" s="50" t="str">
        <x:v>5–24 units</x:v>
      </x:c>
      <x:c r="C20" s="50" t="str">
        <x:v>share_properties</x:v>
      </x:c>
      <x:c r="D20" s="55" t="n">
        <x:v>0.01737768002368692</x:v>
      </x:c>
      <x:c r="E20" s="50" t="str">
        <x:v>Independent descriptive calculation</x:v>
      </x:c>
      <x:c r="F20" s="50" t="str">
        <x:v>2024 survey; financial reference 2023</x:v>
      </x:c>
      <x:c r="G20" s="50" t="str">
        <x:v>https://www2.census.gov/programs-surveys/rhfs/data/public-use-files/2024/rhfspuf2024.csv</x:v>
      </x:c>
      <x:c r="H20" s="50" t="str">
        <x:v>Descriptive survey-weighted point estimates; no confidence intervals. Not Census-endorsed estimates.</x:v>
      </x:c>
      <x:c r="I20" s="2"/>
    </x:row>
    <x:row r="21" ht="47" customHeight="1">
      <x:c r="A21" s="50" t="str">
        <x:v>RHFS size</x:v>
      </x:c>
      <x:c r="B21" s="50" t="str">
        <x:v>5–24 units</x:v>
      </x:c>
      <x:c r="C21" s="50" t="str">
        <x:v>share_units_puf</x:v>
      </x:c>
      <x:c r="D21" s="55" t="n">
        <x:v>0.08199190162747287</x:v>
      </x:c>
      <x:c r="E21" s="50" t="str">
        <x:v>Independent descriptive calculation</x:v>
      </x:c>
      <x:c r="F21" s="50" t="str">
        <x:v>2024 survey; financial reference 2023</x:v>
      </x:c>
      <x:c r="G21" s="50" t="str">
        <x:v>https://www2.census.gov/programs-surveys/rhfs/data/public-use-files/2024/rhfspuf2024.csv</x:v>
      </x:c>
      <x:c r="H21" s="50" t="str">
        <x:v>Descriptive survey-weighted point estimates; no confidence intervals. Not Census-endorsed estimates.</x:v>
      </x:c>
      <x:c r="I21" s="2"/>
    </x:row>
    <x:row r="22" ht="47" customHeight="1">
      <x:c r="A22" s="50" t="str">
        <x:v>RHFS size</x:v>
      </x:c>
      <x:c r="B22" s="50" t="str">
        <x:v>25–49 units</x:v>
      </x:c>
      <x:c r="C22" s="50" t="str">
        <x:v>records</x:v>
      </x:c>
      <x:c r="D22" s="54" t="n">
        <x:v>445</x:v>
      </x:c>
      <x:c r="E22" s="50" t="str">
        <x:v>Independent descriptive calculation</x:v>
      </x:c>
      <x:c r="F22" s="50" t="str">
        <x:v>2024 survey; financial reference 2023</x:v>
      </x:c>
      <x:c r="G22" s="50" t="str">
        <x:v>https://www2.census.gov/programs-surveys/rhfs/data/public-use-files/2024/rhfspuf2024.csv</x:v>
      </x:c>
      <x:c r="H22" s="50" t="str">
        <x:v>Descriptive survey-weighted point estimates; no confidence intervals. Not Census-endorsed estimates.</x:v>
      </x:c>
      <x:c r="I22" s="2"/>
    </x:row>
    <x:row r="23" ht="47" customHeight="1">
      <x:c r="A23" s="50" t="str">
        <x:v>RHFS size</x:v>
      </x:c>
      <x:c r="B23" s="50" t="str">
        <x:v>25–49 units</x:v>
      </x:c>
      <x:c r="C23" s="50" t="str">
        <x:v>properties</x:v>
      </x:c>
      <x:c r="D23" s="54" t="n">
        <x:v>73768.0744342384</x:v>
      </x:c>
      <x:c r="E23" s="50" t="str">
        <x:v>Independent descriptive calculation</x:v>
      </x:c>
      <x:c r="F23" s="50" t="str">
        <x:v>2024 survey; financial reference 2023</x:v>
      </x:c>
      <x:c r="G23" s="50" t="str">
        <x:v>https://www2.census.gov/programs-surveys/rhfs/data/public-use-files/2024/rhfspuf2024.csv</x:v>
      </x:c>
      <x:c r="H23" s="50" t="str">
        <x:v>Descriptive survey-weighted point estimates; no confidence intervals. Not Census-endorsed estimates.</x:v>
      </x:c>
      <x:c r="I23" s="2"/>
    </x:row>
    <x:row r="24" ht="47" customHeight="1">
      <x:c r="A24" s="50" t="str">
        <x:v>RHFS size</x:v>
      </x:c>
      <x:c r="B24" s="50" t="str">
        <x:v>25–49 units</x:v>
      </x:c>
      <x:c r="C24" s="50" t="str">
        <x:v>units_puf</x:v>
      </x:c>
      <x:c r="D24" s="54" t="n">
        <x:v>2707999.9999993774</x:v>
      </x:c>
      <x:c r="E24" s="50" t="str">
        <x:v>Independent descriptive calculation</x:v>
      </x:c>
      <x:c r="F24" s="50" t="str">
        <x:v>2024 survey; financial reference 2023</x:v>
      </x:c>
      <x:c r="G24" s="50" t="str">
        <x:v>https://www2.census.gov/programs-surveys/rhfs/data/public-use-files/2024/rhfspuf2024.csv</x:v>
      </x:c>
      <x:c r="H24" s="50" t="str">
        <x:v>Descriptive survey-weighted point estimates; no confidence intervals. Not Census-endorsed estimates.</x:v>
      </x:c>
      <x:c r="I24" s="2"/>
    </x:row>
    <x:row r="25" ht="47" customHeight="1">
      <x:c r="A25" s="50" t="str">
        <x:v>RHFS size</x:v>
      </x:c>
      <x:c r="B25" s="50" t="str">
        <x:v>25–49 units</x:v>
      </x:c>
      <x:c r="C25" s="50" t="str">
        <x:v>share_properties</x:v>
      </x:c>
      <x:c r="D25" s="55" t="n">
        <x:v>0.003889782803144911</x:v>
      </x:c>
      <x:c r="E25" s="50" t="str">
        <x:v>Independent descriptive calculation</x:v>
      </x:c>
      <x:c r="F25" s="50" t="str">
        <x:v>2024 survey; financial reference 2023</x:v>
      </x:c>
      <x:c r="G25" s="50" t="str">
        <x:v>https://www2.census.gov/programs-surveys/rhfs/data/public-use-files/2024/rhfspuf2024.csv</x:v>
      </x:c>
      <x:c r="H25" s="50" t="str">
        <x:v>Descriptive survey-weighted point estimates; no confidence intervals. Not Census-endorsed estimates.</x:v>
      </x:c>
      <x:c r="I25" s="2"/>
    </x:row>
    <x:row r="26" ht="47" customHeight="1">
      <x:c r="A26" s="50" t="str">
        <x:v>RHFS size</x:v>
      </x:c>
      <x:c r="B26" s="50" t="str">
        <x:v>25–49 units</x:v>
      </x:c>
      <x:c r="C26" s="50" t="str">
        <x:v>share_units_puf</x:v>
      </x:c>
      <x:c r="D26" s="55" t="n">
        <x:v>0.054273788708591106</x:v>
      </x:c>
      <x:c r="E26" s="50" t="str">
        <x:v>Independent descriptive calculation</x:v>
      </x:c>
      <x:c r="F26" s="50" t="str">
        <x:v>2024 survey; financial reference 2023</x:v>
      </x:c>
      <x:c r="G26" s="50" t="str">
        <x:v>https://www2.census.gov/programs-surveys/rhfs/data/public-use-files/2024/rhfspuf2024.csv</x:v>
      </x:c>
      <x:c r="H26" s="50" t="str">
        <x:v>Descriptive survey-weighted point estimates; no confidence intervals. Not Census-endorsed estimates.</x:v>
      </x:c>
      <x:c r="I26" s="2"/>
    </x:row>
    <x:row r="27" ht="47" customHeight="1">
      <x:c r="A27" s="50" t="str">
        <x:v>RHFS size</x:v>
      </x:c>
      <x:c r="B27" s="50" t="str">
        <x:v>50+ units</x:v>
      </x:c>
      <x:c r="C27" s="50" t="str">
        <x:v>records</x:v>
      </x:c>
      <x:c r="D27" s="54" t="n">
        <x:v>2493</x:v>
      </x:c>
      <x:c r="E27" s="50" t="str">
        <x:v>Independent descriptive calculation</x:v>
      </x:c>
      <x:c r="F27" s="50" t="str">
        <x:v>2024 survey; financial reference 2023</x:v>
      </x:c>
      <x:c r="G27" s="50" t="str">
        <x:v>https://www2.census.gov/programs-surveys/rhfs/data/public-use-files/2024/rhfspuf2024.csv</x:v>
      </x:c>
      <x:c r="H27" s="50" t="str">
        <x:v>Descriptive survey-weighted point estimates; no confidence intervals. Not Census-endorsed estimates.</x:v>
      </x:c>
      <x:c r="I27" s="2"/>
    </x:row>
    <x:row r="28" ht="47" customHeight="1">
      <x:c r="A28" s="50" t="str">
        <x:v>RHFS size</x:v>
      </x:c>
      <x:c r="B28" s="50" t="str">
        <x:v>50+ units</x:v>
      </x:c>
      <x:c r="C28" s="50" t="str">
        <x:v>properties</x:v>
      </x:c>
      <x:c r="D28" s="54" t="n">
        <x:v>81330.8714788981</x:v>
      </x:c>
      <x:c r="E28" s="50" t="str">
        <x:v>Independent descriptive calculation</x:v>
      </x:c>
      <x:c r="F28" s="50" t="str">
        <x:v>2024 survey; financial reference 2023</x:v>
      </x:c>
      <x:c r="G28" s="50" t="str">
        <x:v>https://www2.census.gov/programs-surveys/rhfs/data/public-use-files/2024/rhfspuf2024.csv</x:v>
      </x:c>
      <x:c r="H28" s="50" t="str">
        <x:v>Descriptive survey-weighted point estimates; no confidence intervals. Not Census-endorsed estimates.</x:v>
      </x:c>
      <x:c r="I28" s="2"/>
    </x:row>
    <x:row r="29" ht="47" customHeight="1">
      <x:c r="A29" s="50" t="str">
        <x:v>RHFS size</x:v>
      </x:c>
      <x:c r="B29" s="50" t="str">
        <x:v>50+ units</x:v>
      </x:c>
      <x:c r="C29" s="50" t="str">
        <x:v>units_puf</x:v>
      </x:c>
      <x:c r="D29" s="54" t="n">
        <x:v>19678171.581658155</x:v>
      </x:c>
      <x:c r="E29" s="50" t="str">
        <x:v>Independent descriptive calculation</x:v>
      </x:c>
      <x:c r="F29" s="50" t="str">
        <x:v>2024 survey; financial reference 2023</x:v>
      </x:c>
      <x:c r="G29" s="50" t="str">
        <x:v>https://www2.census.gov/programs-surveys/rhfs/data/public-use-files/2024/rhfspuf2024.csv</x:v>
      </x:c>
      <x:c r="H29" s="50" t="str">
        <x:v>Descriptive survey-weighted point estimates; no confidence intervals. Not Census-endorsed estimates.</x:v>
      </x:c>
      <x:c r="I29" s="2"/>
    </x:row>
    <x:row r="30" ht="47" customHeight="1">
      <x:c r="A30" s="50" t="str">
        <x:v>RHFS size</x:v>
      </x:c>
      <x:c r="B30" s="50" t="str">
        <x:v>50+ units</x:v>
      </x:c>
      <x:c r="C30" s="50" t="str">
        <x:v>share_properties</x:v>
      </x:c>
      <x:c r="D30" s="55" t="n">
        <x:v>0.004288568295563006</x:v>
      </x:c>
      <x:c r="E30" s="50" t="str">
        <x:v>Independent descriptive calculation</x:v>
      </x:c>
      <x:c r="F30" s="50" t="str">
        <x:v>2024 survey; financial reference 2023</x:v>
      </x:c>
      <x:c r="G30" s="50" t="str">
        <x:v>https://www2.census.gov/programs-surveys/rhfs/data/public-use-files/2024/rhfspuf2024.csv</x:v>
      </x:c>
      <x:c r="H30" s="50" t="str">
        <x:v>Descriptive survey-weighted point estimates; no confidence intervals. Not Census-endorsed estimates.</x:v>
      </x:c>
      <x:c r="I30" s="2"/>
    </x:row>
    <x:row r="31" ht="47" customHeight="1">
      <x:c r="A31" s="50" t="str">
        <x:v>RHFS size</x:v>
      </x:c>
      <x:c r="B31" s="50" t="str">
        <x:v>50+ units</x:v>
      </x:c>
      <x:c r="C31" s="50" t="str">
        <x:v>share_units_puf</x:v>
      </x:c>
      <x:c r="D31" s="55" t="n">
        <x:v>0.3943902978561899</x:v>
      </x:c>
      <x:c r="E31" s="50" t="str">
        <x:v>Independent descriptive calculation</x:v>
      </x:c>
      <x:c r="F31" s="50" t="str">
        <x:v>2024 survey; financial reference 2023</x:v>
      </x:c>
      <x:c r="G31" s="50" t="str">
        <x:v>https://www2.census.gov/programs-surveys/rhfs/data/public-use-files/2024/rhfspuf2024.csv</x:v>
      </x:c>
      <x:c r="H31" s="50" t="str">
        <x:v>Descriptive survey-weighted point estimates; no confidence intervals. Not Census-endorsed estimates.</x:v>
      </x:c>
      <x:c r="I31" s="2"/>
    </x:row>
    <x:row r="32" ht="47" customHeight="1">
      <x:c r="A32" s="50" t="str">
        <x:v>RHFS management</x:v>
      </x:c>
      <x:c r="B32" s="50" t="str">
        <x:v>Not reported</x:v>
      </x:c>
      <x:c r="C32" s="50" t="str">
        <x:v>records</x:v>
      </x:c>
      <x:c r="D32" s="54" t="n">
        <x:v>309</x:v>
      </x:c>
      <x:c r="E32" s="50" t="str">
        <x:v>Independent descriptive calculation</x:v>
      </x:c>
      <x:c r="F32" s="50" t="str">
        <x:v>2024 survey; financial reference 2023</x:v>
      </x:c>
      <x:c r="G32" s="50" t="str">
        <x:v>https://www2.census.gov/programs-surveys/rhfs/data/public-use-files/2024/rhfspuf2024.csv</x:v>
      </x:c>
      <x:c r="H32" s="50" t="str">
        <x:v>Descriptive survey-weighted point estimates; no confidence intervals. Not Census-endorsed estimates.</x:v>
      </x:c>
      <x:c r="I32" s="2"/>
    </x:row>
    <x:row r="33" ht="47" customHeight="1">
      <x:c r="A33" s="50" t="str">
        <x:v>RHFS management</x:v>
      </x:c>
      <x:c r="B33" s="50" t="str">
        <x:v>Not reported</x:v>
      </x:c>
      <x:c r="C33" s="50" t="str">
        <x:v>properties</x:v>
      </x:c>
      <x:c r="D33" s="54" t="n">
        <x:v>929477.3510794924</x:v>
      </x:c>
      <x:c r="E33" s="50" t="str">
        <x:v>Independent descriptive calculation</x:v>
      </x:c>
      <x:c r="F33" s="50" t="str">
        <x:v>2024 survey; financial reference 2023</x:v>
      </x:c>
      <x:c r="G33" s="50" t="str">
        <x:v>https://www2.census.gov/programs-surveys/rhfs/data/public-use-files/2024/rhfspuf2024.csv</x:v>
      </x:c>
      <x:c r="H33" s="50" t="str">
        <x:v>Descriptive survey-weighted point estimates; no confidence intervals. Not Census-endorsed estimates.</x:v>
      </x:c>
      <x:c r="I33" s="2"/>
    </x:row>
    <x:row r="34" ht="47" customHeight="1">
      <x:c r="A34" s="50" t="str">
        <x:v>RHFS management</x:v>
      </x:c>
      <x:c r="B34" s="50" t="str">
        <x:v>Not reported</x:v>
      </x:c>
      <x:c r="C34" s="50" t="str">
        <x:v>units_puf</x:v>
      </x:c>
      <x:c r="D34" s="54" t="n">
        <x:v>3364700.469922763</x:v>
      </x:c>
      <x:c r="E34" s="50" t="str">
        <x:v>Independent descriptive calculation</x:v>
      </x:c>
      <x:c r="F34" s="50" t="str">
        <x:v>2024 survey; financial reference 2023</x:v>
      </x:c>
      <x:c r="G34" s="50" t="str">
        <x:v>https://www2.census.gov/programs-surveys/rhfs/data/public-use-files/2024/rhfspuf2024.csv</x:v>
      </x:c>
      <x:c r="H34" s="50" t="str">
        <x:v>Descriptive survey-weighted point estimates; no confidence intervals. Not Census-endorsed estimates.</x:v>
      </x:c>
      <x:c r="I34" s="2"/>
    </x:row>
    <x:row r="35" ht="47" customHeight="1">
      <x:c r="A35" s="50" t="str">
        <x:v>RHFS management</x:v>
      </x:c>
      <x:c r="B35" s="50" t="str">
        <x:v>Not reported</x:v>
      </x:c>
      <x:c r="C35" s="50" t="str">
        <x:v>share_properties</x:v>
      </x:c>
      <x:c r="D35" s="55" t="n">
        <x:v>0.04901124292412908</x:v>
      </x:c>
      <x:c r="E35" s="50" t="str">
        <x:v>Independent descriptive calculation</x:v>
      </x:c>
      <x:c r="F35" s="50" t="str">
        <x:v>2024 survey; financial reference 2023</x:v>
      </x:c>
      <x:c r="G35" s="50" t="str">
        <x:v>https://www2.census.gov/programs-surveys/rhfs/data/public-use-files/2024/rhfspuf2024.csv</x:v>
      </x:c>
      <x:c r="H35" s="50" t="str">
        <x:v>Descriptive survey-weighted point estimates; no confidence intervals. Not Census-endorsed estimates.</x:v>
      </x:c>
      <x:c r="I35" s="2"/>
    </x:row>
    <x:row r="36" ht="47" customHeight="1">
      <x:c r="A36" s="50" t="str">
        <x:v>RHFS management</x:v>
      </x:c>
      <x:c r="B36" s="50" t="str">
        <x:v>Not reported</x:v>
      </x:c>
      <x:c r="C36" s="50" t="str">
        <x:v>share_units_puf</x:v>
      </x:c>
      <x:c r="D36" s="55" t="n">
        <x:v>0.06743539230883575</x:v>
      </x:c>
      <x:c r="E36" s="50" t="str">
        <x:v>Independent descriptive calculation</x:v>
      </x:c>
      <x:c r="F36" s="50" t="str">
        <x:v>2024 survey; financial reference 2023</x:v>
      </x:c>
      <x:c r="G36" s="50" t="str">
        <x:v>https://www2.census.gov/programs-surveys/rhfs/data/public-use-files/2024/rhfspuf2024.csv</x:v>
      </x:c>
      <x:c r="H36" s="50" t="str">
        <x:v>Descriptive survey-weighted point estimates; no confidence intervals. Not Census-endorsed estimates.</x:v>
      </x:c>
      <x:c r="I36" s="2"/>
    </x:row>
    <x:row r="37" ht="47" customHeight="1">
      <x:c r="A37" s="50" t="str">
        <x:v>RHFS management</x:v>
      </x:c>
      <x:c r="B37" s="50" t="str">
        <x:v>Owner or unpaid agent</x:v>
      </x:c>
      <x:c r="C37" s="50" t="str">
        <x:v>records</x:v>
      </x:c>
      <x:c r="D37" s="54" t="n">
        <x:v>918</x:v>
      </x:c>
      <x:c r="E37" s="50" t="str">
        <x:v>Independent descriptive calculation</x:v>
      </x:c>
      <x:c r="F37" s="50" t="str">
        <x:v>2024 survey; financial reference 2023</x:v>
      </x:c>
      <x:c r="G37" s="50" t="str">
        <x:v>https://www2.census.gov/programs-surveys/rhfs/data/public-use-files/2024/rhfspuf2024.csv</x:v>
      </x:c>
      <x:c r="H37" s="50" t="str">
        <x:v>Descriptive survey-weighted point estimates; no confidence intervals. Not Census-endorsed estimates.</x:v>
      </x:c>
      <x:c r="I37" s="2"/>
    </x:row>
    <x:row r="38" ht="47" customHeight="1">
      <x:c r="A38" s="50" t="str">
        <x:v>RHFS management</x:v>
      </x:c>
      <x:c r="B38" s="50" t="str">
        <x:v>Owner or unpaid agent</x:v>
      </x:c>
      <x:c r="C38" s="50" t="str">
        <x:v>properties</x:v>
      </x:c>
      <x:c r="D38" s="54" t="n">
        <x:v>10132958.082053386</x:v>
      </x:c>
      <x:c r="E38" s="50" t="str">
        <x:v>Independent descriptive calculation</x:v>
      </x:c>
      <x:c r="F38" s="50" t="str">
        <x:v>2024 survey; financial reference 2023</x:v>
      </x:c>
      <x:c r="G38" s="50" t="str">
        <x:v>https://www2.census.gov/programs-surveys/rhfs/data/public-use-files/2024/rhfspuf2024.csv</x:v>
      </x:c>
      <x:c r="H38" s="50" t="str">
        <x:v>Descriptive survey-weighted point estimates; no confidence intervals. Not Census-endorsed estimates.</x:v>
      </x:c>
      <x:c r="I38" s="2"/>
    </x:row>
    <x:row r="39" ht="47" customHeight="1">
      <x:c r="A39" s="50" t="str">
        <x:v>RHFS management</x:v>
      </x:c>
      <x:c r="B39" s="50" t="str">
        <x:v>Owner or unpaid agent</x:v>
      </x:c>
      <x:c r="C39" s="50" t="str">
        <x:v>units_puf</x:v>
      </x:c>
      <x:c r="D39" s="54" t="n">
        <x:v>16513839.997295583</x:v>
      </x:c>
      <x:c r="E39" s="50" t="str">
        <x:v>Independent descriptive calculation</x:v>
      </x:c>
      <x:c r="F39" s="50" t="str">
        <x:v>2024 survey; financial reference 2023</x:v>
      </x:c>
      <x:c r="G39" s="50" t="str">
        <x:v>https://www2.census.gov/programs-surveys/rhfs/data/public-use-files/2024/rhfspuf2024.csv</x:v>
      </x:c>
      <x:c r="H39" s="50" t="str">
        <x:v>Descriptive survey-weighted point estimates; no confidence intervals. Not Census-endorsed estimates.</x:v>
      </x:c>
      <x:c r="I39" s="2"/>
    </x:row>
    <x:row r="40" ht="47" customHeight="1">
      <x:c r="A40" s="50" t="str">
        <x:v>RHFS management</x:v>
      </x:c>
      <x:c r="B40" s="50" t="str">
        <x:v>Owner or unpaid agent</x:v>
      </x:c>
      <x:c r="C40" s="50" t="str">
        <x:v>share_properties</x:v>
      </x:c>
      <x:c r="D40" s="55" t="n">
        <x:v>0.5343098134911541</x:v>
      </x:c>
      <x:c r="E40" s="50" t="str">
        <x:v>Independent descriptive calculation</x:v>
      </x:c>
      <x:c r="F40" s="50" t="str">
        <x:v>2024 survey; financial reference 2023</x:v>
      </x:c>
      <x:c r="G40" s="50" t="str">
        <x:v>https://www2.census.gov/programs-surveys/rhfs/data/public-use-files/2024/rhfspuf2024.csv</x:v>
      </x:c>
      <x:c r="H40" s="50" t="str">
        <x:v>Descriptive survey-weighted point estimates; no confidence intervals. Not Census-endorsed estimates.</x:v>
      </x:c>
      <x:c r="I40" s="2"/>
    </x:row>
    <x:row r="41" ht="47" customHeight="1">
      <x:c r="A41" s="50" t="str">
        <x:v>RHFS management</x:v>
      </x:c>
      <x:c r="B41" s="50" t="str">
        <x:v>Owner or unpaid agent</x:v>
      </x:c>
      <x:c r="C41" s="50" t="str">
        <x:v>share_units_puf</x:v>
      </x:c>
      <x:c r="D41" s="55" t="n">
        <x:v>0.3309707026517383</x:v>
      </x:c>
      <x:c r="E41" s="50" t="str">
        <x:v>Independent descriptive calculation</x:v>
      </x:c>
      <x:c r="F41" s="50" t="str">
        <x:v>2024 survey; financial reference 2023</x:v>
      </x:c>
      <x:c r="G41" s="50" t="str">
        <x:v>https://www2.census.gov/programs-surveys/rhfs/data/public-use-files/2024/rhfspuf2024.csv</x:v>
      </x:c>
      <x:c r="H41" s="50" t="str">
        <x:v>Descriptive survey-weighted point estimates; no confidence intervals. Not Census-endorsed estimates.</x:v>
      </x:c>
      <x:c r="I41" s="2"/>
    </x:row>
    <x:row r="42" ht="47" customHeight="1">
      <x:c r="A42" s="50" t="str">
        <x:v>RHFS management</x:v>
      </x:c>
      <x:c r="B42" s="50" t="str">
        <x:v>Owner-employed manager</x:v>
      </x:c>
      <x:c r="C42" s="50" t="str">
        <x:v>records</x:v>
      </x:c>
      <x:c r="D42" s="54" t="n">
        <x:v>1235</x:v>
      </x:c>
      <x:c r="E42" s="50" t="str">
        <x:v>Independent descriptive calculation</x:v>
      </x:c>
      <x:c r="F42" s="50" t="str">
        <x:v>2024 survey; financial reference 2023</x:v>
      </x:c>
      <x:c r="G42" s="50" t="str">
        <x:v>https://www2.census.gov/programs-surveys/rhfs/data/public-use-files/2024/rhfspuf2024.csv</x:v>
      </x:c>
      <x:c r="H42" s="50" t="str">
        <x:v>Descriptive survey-weighted point estimates; no confidence intervals. Not Census-endorsed estimates.</x:v>
      </x:c>
      <x:c r="I42" s="2"/>
    </x:row>
    <x:row r="43" ht="47" customHeight="1">
      <x:c r="A43" s="50" t="str">
        <x:v>RHFS management</x:v>
      </x:c>
      <x:c r="B43" s="50" t="str">
        <x:v>Owner-employed manager</x:v>
      </x:c>
      <x:c r="C43" s="50" t="str">
        <x:v>properties</x:v>
      </x:c>
      <x:c r="D43" s="54" t="n">
        <x:v>2785620.351731199</x:v>
      </x:c>
      <x:c r="E43" s="50" t="str">
        <x:v>Independent descriptive calculation</x:v>
      </x:c>
      <x:c r="F43" s="50" t="str">
        <x:v>2024 survey; financial reference 2023</x:v>
      </x:c>
      <x:c r="G43" s="50" t="str">
        <x:v>https://www2.census.gov/programs-surveys/rhfs/data/public-use-files/2024/rhfspuf2024.csv</x:v>
      </x:c>
      <x:c r="H43" s="50" t="str">
        <x:v>Descriptive survey-weighted point estimates; no confidence intervals. Not Census-endorsed estimates.</x:v>
      </x:c>
      <x:c r="I43" s="2"/>
    </x:row>
    <x:row r="44" ht="47" customHeight="1">
      <x:c r="A44" s="50" t="str">
        <x:v>RHFS management</x:v>
      </x:c>
      <x:c r="B44" s="50" t="str">
        <x:v>Owner-employed manager</x:v>
      </x:c>
      <x:c r="C44" s="50" t="str">
        <x:v>units_puf</x:v>
      </x:c>
      <x:c r="D44" s="54" t="n">
        <x:v>10998000.83358925</x:v>
      </x:c>
      <x:c r="E44" s="50" t="str">
        <x:v>Independent descriptive calculation</x:v>
      </x:c>
      <x:c r="F44" s="50" t="str">
        <x:v>2024 survey; financial reference 2023</x:v>
      </x:c>
      <x:c r="G44" s="50" t="str">
        <x:v>https://www2.census.gov/programs-surveys/rhfs/data/public-use-files/2024/rhfspuf2024.csv</x:v>
      </x:c>
      <x:c r="H44" s="50" t="str">
        <x:v>Descriptive survey-weighted point estimates; no confidence intervals. Not Census-endorsed estimates.</x:v>
      </x:c>
      <x:c r="I44" s="2"/>
    </x:row>
    <x:row r="45" ht="47" customHeight="1">
      <x:c r="A45" s="50" t="str">
        <x:v>RHFS management</x:v>
      </x:c>
      <x:c r="B45" s="50" t="str">
        <x:v>Owner-employed manager</x:v>
      </x:c>
      <x:c r="C45" s="50" t="str">
        <x:v>share_properties</x:v>
      </x:c>
      <x:c r="D45" s="55" t="n">
        <x:v>0.1468854680477517</x:v>
      </x:c>
      <x:c r="E45" s="50" t="str">
        <x:v>Independent descriptive calculation</x:v>
      </x:c>
      <x:c r="F45" s="50" t="str">
        <x:v>2024 survey; financial reference 2023</x:v>
      </x:c>
      <x:c r="G45" s="50" t="str">
        <x:v>https://www2.census.gov/programs-surveys/rhfs/data/public-use-files/2024/rhfspuf2024.csv</x:v>
      </x:c>
      <x:c r="H45" s="50" t="str">
        <x:v>Descriptive survey-weighted point estimates; no confidence intervals. Not Census-endorsed estimates.</x:v>
      </x:c>
      <x:c r="I45" s="2"/>
    </x:row>
    <x:row r="46" ht="47" customHeight="1">
      <x:c r="A46" s="50" t="str">
        <x:v>RHFS management</x:v>
      </x:c>
      <x:c r="B46" s="50" t="str">
        <x:v>Owner-employed manager</x:v>
      </x:c>
      <x:c r="C46" s="50" t="str">
        <x:v>share_units_puf</x:v>
      </x:c>
      <x:c r="D46" s="55" t="n">
        <x:v>0.2204221467722559</x:v>
      </x:c>
      <x:c r="E46" s="50" t="str">
        <x:v>Independent descriptive calculation</x:v>
      </x:c>
      <x:c r="F46" s="50" t="str">
        <x:v>2024 survey; financial reference 2023</x:v>
      </x:c>
      <x:c r="G46" s="50" t="str">
        <x:v>https://www2.census.gov/programs-surveys/rhfs/data/public-use-files/2024/rhfspuf2024.csv</x:v>
      </x:c>
      <x:c r="H46" s="50" t="str">
        <x:v>Descriptive survey-weighted point estimates; no confidence intervals. Not Census-endorsed estimates.</x:v>
      </x:c>
      <x:c r="I46" s="2"/>
    </x:row>
    <x:row r="47" ht="47" customHeight="1">
      <x:c r="A47" s="50" t="str">
        <x:v>RHFS management</x:v>
      </x:c>
      <x:c r="B47" s="50" t="str">
        <x:v>Management company</x:v>
      </x:c>
      <x:c r="C47" s="50" t="str">
        <x:v>records</x:v>
      </x:c>
      <x:c r="D47" s="54" t="n">
        <x:v>1889</x:v>
      </x:c>
      <x:c r="E47" s="50" t="str">
        <x:v>Independent descriptive calculation</x:v>
      </x:c>
      <x:c r="F47" s="50" t="str">
        <x:v>2024 survey; financial reference 2023</x:v>
      </x:c>
      <x:c r="G47" s="50" t="str">
        <x:v>https://www2.census.gov/programs-surveys/rhfs/data/public-use-files/2024/rhfspuf2024.csv</x:v>
      </x:c>
      <x:c r="H47" s="50" t="str">
        <x:v>Descriptive survey-weighted point estimates; no confidence intervals. Not Census-endorsed estimates.</x:v>
      </x:c>
      <x:c r="I47" s="2"/>
    </x:row>
    <x:row r="48" ht="47" customHeight="1">
      <x:c r="A48" s="50" t="str">
        <x:v>RHFS management</x:v>
      </x:c>
      <x:c r="B48" s="50" t="str">
        <x:v>Management company</x:v>
      </x:c>
      <x:c r="C48" s="50" t="str">
        <x:v>properties</x:v>
      </x:c>
      <x:c r="D48" s="54" t="n">
        <x:v>4092902.787049095</x:v>
      </x:c>
      <x:c r="E48" s="50" t="str">
        <x:v>Independent descriptive calculation</x:v>
      </x:c>
      <x:c r="F48" s="50" t="str">
        <x:v>2024 survey; financial reference 2023</x:v>
      </x:c>
      <x:c r="G48" s="50" t="str">
        <x:v>https://www2.census.gov/programs-surveys/rhfs/data/public-use-files/2024/rhfspuf2024.csv</x:v>
      </x:c>
      <x:c r="H48" s="50" t="str">
        <x:v>Descriptive survey-weighted point estimates; no confidence intervals. Not Census-endorsed estimates.</x:v>
      </x:c>
      <x:c r="I48" s="2"/>
    </x:row>
    <x:row r="49" ht="47" customHeight="1">
      <x:c r="A49" s="50" t="str">
        <x:v>RHFS management</x:v>
      </x:c>
      <x:c r="B49" s="50" t="str">
        <x:v>Management company</x:v>
      </x:c>
      <x:c r="C49" s="50" t="str">
        <x:v>units_puf</x:v>
      </x:c>
      <x:c r="D49" s="54" t="n">
        <x:v>17609436.190117642</x:v>
      </x:c>
      <x:c r="E49" s="50" t="str">
        <x:v>Independent descriptive calculation</x:v>
      </x:c>
      <x:c r="F49" s="50" t="str">
        <x:v>2024 survey; financial reference 2023</x:v>
      </x:c>
      <x:c r="G49" s="50" t="str">
        <x:v>https://www2.census.gov/programs-surveys/rhfs/data/public-use-files/2024/rhfspuf2024.csv</x:v>
      </x:c>
      <x:c r="H49" s="50" t="str">
        <x:v>Descriptive survey-weighted point estimates; no confidence intervals. Not Census-endorsed estimates.</x:v>
      </x:c>
      <x:c r="I49" s="2"/>
    </x:row>
    <x:row r="50" ht="47" customHeight="1">
      <x:c r="A50" s="50" t="str">
        <x:v>RHFS management</x:v>
      </x:c>
      <x:c r="B50" s="50" t="str">
        <x:v>Management company</x:v>
      </x:c>
      <x:c r="C50" s="50" t="str">
        <x:v>share_properties</x:v>
      </x:c>
      <x:c r="D50" s="55" t="n">
        <x:v>0.21581833331165512</x:v>
      </x:c>
      <x:c r="E50" s="50" t="str">
        <x:v>Independent descriptive calculation</x:v>
      </x:c>
      <x:c r="F50" s="50" t="str">
        <x:v>2024 survey; financial reference 2023</x:v>
      </x:c>
      <x:c r="G50" s="50" t="str">
        <x:v>https://www2.census.gov/programs-surveys/rhfs/data/public-use-files/2024/rhfspuf2024.csv</x:v>
      </x:c>
      <x:c r="H50" s="50" t="str">
        <x:v>Descriptive survey-weighted point estimates; no confidence intervals. Not Census-endorsed estimates.</x:v>
      </x:c>
      <x:c r="I50" s="2"/>
    </x:row>
    <x:row r="51" ht="47" customHeight="1">
      <x:c r="A51" s="50" t="str">
        <x:v>RHFS management</x:v>
      </x:c>
      <x:c r="B51" s="50" t="str">
        <x:v>Management company</x:v>
      </x:c>
      <x:c r="C51" s="50" t="str">
        <x:v>share_units_puf</x:v>
      </x:c>
      <x:c r="D51" s="55" t="n">
        <x:v>0.35292866287299934</x:v>
      </x:c>
      <x:c r="E51" s="50" t="str">
        <x:v>Independent descriptive calculation</x:v>
      </x:c>
      <x:c r="F51" s="50" t="str">
        <x:v>2024 survey; financial reference 2023</x:v>
      </x:c>
      <x:c r="G51" s="50" t="str">
        <x:v>https://www2.census.gov/programs-surveys/rhfs/data/public-use-files/2024/rhfspuf2024.csv</x:v>
      </x:c>
      <x:c r="H51" s="50" t="str">
        <x:v>Descriptive survey-weighted point estimates; no confidence intervals. Not Census-endorsed estimates.</x:v>
      </x:c>
      <x:c r="I51" s="2"/>
    </x:row>
    <x:row r="52" ht="47" customHeight="1">
      <x:c r="A52" s="50" t="str">
        <x:v>RHFS management</x:v>
      </x:c>
      <x:c r="B52" s="50" t="str">
        <x:v>Other</x:v>
      </x:c>
      <x:c r="C52" s="50" t="str">
        <x:v>records</x:v>
      </x:c>
      <x:c r="D52" s="56" t="n">
        <x:v>74</x:v>
      </x:c>
      <x:c r="E52" s="50" t="str">
        <x:v>Independent descriptive calculation</x:v>
      </x:c>
      <x:c r="F52" s="50" t="str">
        <x:v>2024 survey; financial reference 2023</x:v>
      </x:c>
      <x:c r="G52" s="50" t="str">
        <x:v>https://www2.census.gov/programs-surveys/rhfs/data/public-use-files/2024/rhfspuf2024.csv</x:v>
      </x:c>
      <x:c r="H52" s="50" t="str">
        <x:v>Descriptive survey-weighted point estimates; no confidence intervals. Not Census-endorsed estimates.</x:v>
      </x:c>
      <x:c r="I52" s="2"/>
    </x:row>
    <x:row r="53" ht="47" customHeight="1">
      <x:c r="A53" s="50" t="str">
        <x:v>RHFS management</x:v>
      </x:c>
      <x:c r="B53" s="50" t="str">
        <x:v>Other</x:v>
      </x:c>
      <x:c r="C53" s="50" t="str">
        <x:v>properties</x:v>
      </x:c>
      <x:c r="D53" s="54" t="n">
        <x:v>1023615.587496579</x:v>
      </x:c>
      <x:c r="E53" s="50" t="str">
        <x:v>Independent descriptive calculation</x:v>
      </x:c>
      <x:c r="F53" s="50" t="str">
        <x:v>2024 survey; financial reference 2023</x:v>
      </x:c>
      <x:c r="G53" s="50" t="str">
        <x:v>https://www2.census.gov/programs-surveys/rhfs/data/public-use-files/2024/rhfspuf2024.csv</x:v>
      </x:c>
      <x:c r="H53" s="50" t="str">
        <x:v>Descriptive survey-weighted point estimates; no confidence intervals. Not Census-endorsed estimates.</x:v>
      </x:c>
      <x:c r="I53" s="2"/>
    </x:row>
    <x:row r="54" ht="47" customHeight="1">
      <x:c r="A54" s="50" t="str">
        <x:v>RHFS management</x:v>
      </x:c>
      <x:c r="B54" s="50" t="str">
        <x:v>Other</x:v>
      </x:c>
      <x:c r="C54" s="50" t="str">
        <x:v>units_puf</x:v>
      </x:c>
      <x:c r="D54" s="54" t="n">
        <x:v>1409194.0906880186</x:v>
      </x:c>
      <x:c r="E54" s="50" t="str">
        <x:v>Independent descriptive calculation</x:v>
      </x:c>
      <x:c r="F54" s="50" t="str">
        <x:v>2024 survey; financial reference 2023</x:v>
      </x:c>
      <x:c r="G54" s="50" t="str">
        <x:v>https://www2.census.gov/programs-surveys/rhfs/data/public-use-files/2024/rhfspuf2024.csv</x:v>
      </x:c>
      <x:c r="H54" s="50" t="str">
        <x:v>Descriptive survey-weighted point estimates; no confidence intervals. Not Census-endorsed estimates.</x:v>
      </x:c>
      <x:c r="I54" s="2"/>
    </x:row>
    <x:row r="55" ht="47" customHeight="1">
      <x:c r="A55" s="50" t="str">
        <x:v>RHFS management</x:v>
      </x:c>
      <x:c r="B55" s="50" t="str">
        <x:v>Other</x:v>
      </x:c>
      <x:c r="C55" s="50" t="str">
        <x:v>share_properties</x:v>
      </x:c>
      <x:c r="D55" s="55" t="n">
        <x:v>0.05397514222530994</x:v>
      </x:c>
      <x:c r="E55" s="50" t="str">
        <x:v>Independent descriptive calculation</x:v>
      </x:c>
      <x:c r="F55" s="50" t="str">
        <x:v>2024 survey; financial reference 2023</x:v>
      </x:c>
      <x:c r="G55" s="50" t="str">
        <x:v>https://www2.census.gov/programs-surveys/rhfs/data/public-use-files/2024/rhfspuf2024.csv</x:v>
      </x:c>
      <x:c r="H55" s="50" t="str">
        <x:v>Descriptive survey-weighted point estimates; no confidence intervals. Not Census-endorsed estimates.</x:v>
      </x:c>
      <x:c r="I55" s="2"/>
    </x:row>
    <x:row r="56" ht="47" customHeight="1">
      <x:c r="A56" s="50" t="str">
        <x:v>RHFS management</x:v>
      </x:c>
      <x:c r="B56" s="50" t="str">
        <x:v>Other</x:v>
      </x:c>
      <x:c r="C56" s="50" t="str">
        <x:v>share_units_puf</x:v>
      </x:c>
      <x:c r="D56" s="55" t="n">
        <x:v>0.02824309539417071</x:v>
      </x:c>
      <x:c r="E56" s="50" t="str">
        <x:v>Independent descriptive calculation</x:v>
      </x:c>
      <x:c r="F56" s="50" t="str">
        <x:v>2024 survey; financial reference 2023</x:v>
      </x:c>
      <x:c r="G56" s="50" t="str">
        <x:v>https://www2.census.gov/programs-surveys/rhfs/data/public-use-files/2024/rhfspuf2024.csv</x:v>
      </x:c>
      <x:c r="H56" s="50" t="str">
        <x:v>Descriptive survey-weighted point estimates; no confidence intervals. Not Census-endorsed estimates.</x:v>
      </x:c>
      <x:c r="I56" s="2"/>
    </x:row>
    <x:row r="57" ht="60" customHeight="1">
      <x:c r="A57" s="50" t="str">
        <x:v>RHFS expenses</x:v>
      </x:c>
      <x:c r="B57" s="50" t="str">
        <x:v>OPREP</x:v>
      </x:c>
      <x:c r="C57" s="50" t="str">
        <x:v>valid_records</x:v>
      </x:c>
      <x:c r="D57" s="54" t="n">
        <x:v>1495</x:v>
      </x:c>
      <x:c r="E57" s="50" t="str">
        <x:v>Independent descriptive calculation</x:v>
      </x:c>
      <x:c r="F57" s="50" t="str">
        <x:v>2023</x:v>
      </x:c>
      <x:c r="G57" s="50" t="str">
        <x:v>https://www2.census.gov/programs-surveys/rhfs/data/public-use-files/2024/rhfspuf2024.csv</x:v>
      </x:c>
      <x:c r="H57" s="50" t="str">
        <x:v>Conditional on nonnegative item response; excludes not reported and not applicable. Descriptive; not savings potential.</x:v>
      </x:c>
      <x:c r="I57" s="2"/>
    </x:row>
    <x:row r="58" ht="60" customHeight="1">
      <x:c r="A58" s="50" t="str">
        <x:v>RHFS expenses</x:v>
      </x:c>
      <x:c r="B58" s="50" t="str">
        <x:v>OPREP</x:v>
      </x:c>
      <x:c r="C58" s="50" t="str">
        <x:v>valid_property_weight_fraction</x:v>
      </x:c>
      <x:c r="D58" s="55" t="n">
        <x:v>0.46874887294274065</x:v>
      </x:c>
      <x:c r="E58" s="50" t="str">
        <x:v>Independent descriptive calculation</x:v>
      </x:c>
      <x:c r="F58" s="50" t="str">
        <x:v>2023</x:v>
      </x:c>
      <x:c r="G58" s="50" t="str">
        <x:v>https://www2.census.gov/programs-surveys/rhfs/data/public-use-files/2024/rhfspuf2024.csv</x:v>
      </x:c>
      <x:c r="H58" s="50" t="str">
        <x:v>Conditional on nonnegative item response; excludes not reported and not applicable. Descriptive; not savings potential.</x:v>
      </x:c>
      <x:c r="I58" s="2"/>
    </x:row>
    <x:row r="59" ht="60" customHeight="1">
      <x:c r="A59" s="50" t="str">
        <x:v>RHFS expenses</x:v>
      </x:c>
      <x:c r="B59" s="50" t="str">
        <x:v>OPREP</x:v>
      </x:c>
      <x:c r="C59" s="50" t="str">
        <x:v>not_reported_property_weight_fraction</x:v>
      </x:c>
      <x:c r="D59" s="55" t="n">
        <x:v>0.2934651448462154</x:v>
      </x:c>
      <x:c r="E59" s="50" t="str">
        <x:v>Independent descriptive calculation</x:v>
      </x:c>
      <x:c r="F59" s="50" t="str">
        <x:v>2023</x:v>
      </x:c>
      <x:c r="G59" s="50" t="str">
        <x:v>https://www2.census.gov/programs-surveys/rhfs/data/public-use-files/2024/rhfspuf2024.csv</x:v>
      </x:c>
      <x:c r="H59" s="50" t="str">
        <x:v>Conditional on nonnegative item response; excludes not reported and not applicable. Descriptive; not savings potential.</x:v>
      </x:c>
      <x:c r="I59" s="2"/>
    </x:row>
    <x:row r="60" ht="60" customHeight="1">
      <x:c r="A60" s="50" t="str">
        <x:v>RHFS expenses</x:v>
      </x:c>
      <x:c r="B60" s="50" t="str">
        <x:v>OPREP</x:v>
      </x:c>
      <x:c r="C60" s="50" t="str">
        <x:v>not_applicable_property_weight_fraction</x:v>
      </x:c>
      <x:c r="D60" s="55" t="n">
        <x:v>0.237785982211044</x:v>
      </x:c>
      <x:c r="E60" s="50" t="str">
        <x:v>Independent descriptive calculation</x:v>
      </x:c>
      <x:c r="F60" s="50" t="str">
        <x:v>2023</x:v>
      </x:c>
      <x:c r="G60" s="50" t="str">
        <x:v>https://www2.census.gov/programs-surveys/rhfs/data/public-use-files/2024/rhfspuf2024.csv</x:v>
      </x:c>
      <x:c r="H60" s="50" t="str">
        <x:v>Conditional on nonnegative item response; excludes not reported and not applicable. Descriptive; not savings potential.</x:v>
      </x:c>
      <x:c r="I60" s="2"/>
    </x:row>
    <x:row r="61" ht="60" customHeight="1">
      <x:c r="A61" s="50" t="str">
        <x:v>RHFS expenses</x:v>
      </x:c>
      <x:c r="B61" s="50" t="str">
        <x:v>OPREP</x:v>
      </x:c>
      <x:c r="C61" s="50" t="str">
        <x:v>annual_per_unit_property_weighted_median</x:v>
      </x:c>
      <x:c r="D61" s="54" t="n">
        <x:v>1600</x:v>
      </x:c>
      <x:c r="E61" s="50" t="str">
        <x:v>Independent descriptive calculation</x:v>
      </x:c>
      <x:c r="F61" s="50" t="str">
        <x:v>2023</x:v>
      </x:c>
      <x:c r="G61" s="50" t="str">
        <x:v>https://www2.census.gov/programs-surveys/rhfs/data/public-use-files/2024/rhfspuf2024.csv</x:v>
      </x:c>
      <x:c r="H61" s="50" t="str">
        <x:v>Conditional on nonnegative item response; excludes not reported and not applicable. Descriptive; not savings potential.</x:v>
      </x:c>
      <x:c r="I61" s="2"/>
    </x:row>
    <x:row r="62" ht="60" customHeight="1">
      <x:c r="A62" s="50" t="str">
        <x:v>RHFS expenses</x:v>
      </x:c>
      <x:c r="B62" s="50" t="str">
        <x:v>OPREP</x:v>
      </x:c>
      <x:c r="C62" s="50" t="str">
        <x:v>annual_per_unit_unit_weighted_median</x:v>
      </x:c>
      <x:c r="D62" s="54" t="n">
        <x:v>1174.731182795699</x:v>
      </x:c>
      <x:c r="E62" s="50" t="str">
        <x:v>Independent descriptive calculation</x:v>
      </x:c>
      <x:c r="F62" s="50" t="str">
        <x:v>2023</x:v>
      </x:c>
      <x:c r="G62" s="50" t="str">
        <x:v>https://www2.census.gov/programs-surveys/rhfs/data/public-use-files/2024/rhfspuf2024.csv</x:v>
      </x:c>
      <x:c r="H62" s="50" t="str">
        <x:v>Conditional on nonnegative item response; excludes not reported and not applicable. Descriptive; not savings potential.</x:v>
      </x:c>
      <x:c r="I62" s="2"/>
    </x:row>
    <x:row r="63" ht="60" customHeight="1">
      <x:c r="A63" s="50" t="str">
        <x:v>RHFS expenses</x:v>
      </x:c>
      <x:c r="B63" s="50" t="str">
        <x:v>OPREP</x:v>
      </x:c>
      <x:c r="C63" s="50" t="str">
        <x:v>annual_per_unit_property_weighted_mean</x:v>
      </x:c>
      <x:c r="D63" s="54" t="n">
        <x:v>2782.015147889737</x:v>
      </x:c>
      <x:c r="E63" s="50" t="str">
        <x:v>Independent descriptive calculation</x:v>
      </x:c>
      <x:c r="F63" s="50" t="str">
        <x:v>2023</x:v>
      </x:c>
      <x:c r="G63" s="50" t="str">
        <x:v>https://www2.census.gov/programs-surveys/rhfs/data/public-use-files/2024/rhfspuf2024.csv</x:v>
      </x:c>
      <x:c r="H63" s="50" t="str">
        <x:v>Conditional on nonnegative item response; excludes not reported and not applicable. Descriptive; not savings potential.</x:v>
      </x:c>
      <x:c r="I63" s="2"/>
    </x:row>
    <x:row r="64" ht="60" customHeight="1">
      <x:c r="A64" s="50" t="str">
        <x:v>RHFS expenses</x:v>
      </x:c>
      <x:c r="B64" s="50" t="str">
        <x:v>OPMNG</x:v>
      </x:c>
      <x:c r="C64" s="50" t="str">
        <x:v>valid_records</x:v>
      </x:c>
      <x:c r="D64" s="54" t="n">
        <x:v>989</x:v>
      </x:c>
      <x:c r="E64" s="50" t="str">
        <x:v>Independent descriptive calculation</x:v>
      </x:c>
      <x:c r="F64" s="50" t="str">
        <x:v>2023</x:v>
      </x:c>
      <x:c r="G64" s="50" t="str">
        <x:v>https://www2.census.gov/programs-surveys/rhfs/data/public-use-files/2024/rhfspuf2024.csv</x:v>
      </x:c>
      <x:c r="H64" s="50" t="str">
        <x:v>Conditional on nonnegative item response; excludes not reported and not applicable. Descriptive; not savings potential.</x:v>
      </x:c>
      <x:c r="I64" s="2"/>
    </x:row>
    <x:row r="65" ht="60" customHeight="1">
      <x:c r="A65" s="50" t="str">
        <x:v>RHFS expenses</x:v>
      </x:c>
      <x:c r="B65" s="50" t="str">
        <x:v>OPMNG</x:v>
      </x:c>
      <x:c r="C65" s="50" t="str">
        <x:v>valid_property_weight_fraction</x:v>
      </x:c>
      <x:c r="D65" s="55" t="n">
        <x:v>0.18095261229614468</x:v>
      </x:c>
      <x:c r="E65" s="50" t="str">
        <x:v>Independent descriptive calculation</x:v>
      </x:c>
      <x:c r="F65" s="50" t="str">
        <x:v>2023</x:v>
      </x:c>
      <x:c r="G65" s="50" t="str">
        <x:v>https://www2.census.gov/programs-surveys/rhfs/data/public-use-files/2024/rhfspuf2024.csv</x:v>
      </x:c>
      <x:c r="H65" s="50" t="str">
        <x:v>Conditional on nonnegative item response; excludes not reported and not applicable. Descriptive; not savings potential.</x:v>
      </x:c>
      <x:c r="I65" s="2"/>
    </x:row>
    <x:row r="66" ht="60" customHeight="1">
      <x:c r="A66" s="50" t="str">
        <x:v>RHFS expenses</x:v>
      </x:c>
      <x:c r="B66" s="50" t="str">
        <x:v>OPMNG</x:v>
      </x:c>
      <x:c r="C66" s="50" t="str">
        <x:v>not_reported_property_weight_fraction</x:v>
      </x:c>
      <x:c r="D66" s="55" t="n">
        <x:v>0.34432726712508166</x:v>
      </x:c>
      <x:c r="E66" s="50" t="str">
        <x:v>Independent descriptive calculation</x:v>
      </x:c>
      <x:c r="F66" s="50" t="str">
        <x:v>2023</x:v>
      </x:c>
      <x:c r="G66" s="50" t="str">
        <x:v>https://www2.census.gov/programs-surveys/rhfs/data/public-use-files/2024/rhfspuf2024.csv</x:v>
      </x:c>
      <x:c r="H66" s="50" t="str">
        <x:v>Conditional on nonnegative item response; excludes not reported and not applicable. Descriptive; not savings potential.</x:v>
      </x:c>
      <x:c r="I66" s="2"/>
    </x:row>
    <x:row r="67" ht="60" customHeight="1">
      <x:c r="A67" s="50" t="str">
        <x:v>RHFS expenses</x:v>
      </x:c>
      <x:c r="B67" s="50" t="str">
        <x:v>OPMNG</x:v>
      </x:c>
      <x:c r="C67" s="50" t="str">
        <x:v>not_applicable_property_weight_fraction</x:v>
      </x:c>
      <x:c r="D67" s="55" t="n">
        <x:v>0.4747201205787737</x:v>
      </x:c>
      <x:c r="E67" s="50" t="str">
        <x:v>Independent descriptive calculation</x:v>
      </x:c>
      <x:c r="F67" s="50" t="str">
        <x:v>2023</x:v>
      </x:c>
      <x:c r="G67" s="50" t="str">
        <x:v>https://www2.census.gov/programs-surveys/rhfs/data/public-use-files/2024/rhfspuf2024.csv</x:v>
      </x:c>
      <x:c r="H67" s="50" t="str">
        <x:v>Conditional on nonnegative item response; excludes not reported and not applicable. Descriptive; not savings potential.</x:v>
      </x:c>
      <x:c r="I67" s="2"/>
    </x:row>
    <x:row r="68" ht="60" customHeight="1">
      <x:c r="A68" s="50" t="str">
        <x:v>RHFS expenses</x:v>
      </x:c>
      <x:c r="B68" s="50" t="str">
        <x:v>OPMNG</x:v>
      </x:c>
      <x:c r="C68" s="50" t="str">
        <x:v>annual_per_unit_property_weighted_median</x:v>
      </x:c>
      <x:c r="D68" s="54" t="n">
        <x:v>1300</x:v>
      </x:c>
      <x:c r="E68" s="50" t="str">
        <x:v>Independent descriptive calculation</x:v>
      </x:c>
      <x:c r="F68" s="50" t="str">
        <x:v>2023</x:v>
      </x:c>
      <x:c r="G68" s="50" t="str">
        <x:v>https://www2.census.gov/programs-surveys/rhfs/data/public-use-files/2024/rhfspuf2024.csv</x:v>
      </x:c>
      <x:c r="H68" s="50" t="str">
        <x:v>Conditional on nonnegative item response; excludes not reported and not applicable. Descriptive; not savings potential.</x:v>
      </x:c>
      <x:c r="I68" s="2"/>
    </x:row>
    <x:row r="69" ht="60" customHeight="1">
      <x:c r="A69" s="50" t="str">
        <x:v>RHFS expenses</x:v>
      </x:c>
      <x:c r="B69" s="50" t="str">
        <x:v>OPMNG</x:v>
      </x:c>
      <x:c r="C69" s="50" t="str">
        <x:v>annual_per_unit_unit_weighted_median</x:v>
      </x:c>
      <x:c r="D69" s="54" t="n">
        <x:v>720</x:v>
      </x:c>
      <x:c r="E69" s="50" t="str">
        <x:v>Independent descriptive calculation</x:v>
      </x:c>
      <x:c r="F69" s="50" t="str">
        <x:v>2023</x:v>
      </x:c>
      <x:c r="G69" s="50" t="str">
        <x:v>https://www2.census.gov/programs-surveys/rhfs/data/public-use-files/2024/rhfspuf2024.csv</x:v>
      </x:c>
      <x:c r="H69" s="50" t="str">
        <x:v>Conditional on nonnegative item response; excludes not reported and not applicable. Descriptive; not savings potential.</x:v>
      </x:c>
      <x:c r="I69" s="2"/>
    </x:row>
    <x:row r="70" ht="60" customHeight="1">
      <x:c r="A70" s="50" t="str">
        <x:v>RHFS expenses</x:v>
      </x:c>
      <x:c r="B70" s="50" t="str">
        <x:v>OPMNG</x:v>
      </x:c>
      <x:c r="C70" s="50" t="str">
        <x:v>annual_per_unit_property_weighted_mean</x:v>
      </x:c>
      <x:c r="D70" s="54" t="n">
        <x:v>1705.2442138513952</x:v>
      </x:c>
      <x:c r="E70" s="50" t="str">
        <x:v>Independent descriptive calculation</x:v>
      </x:c>
      <x:c r="F70" s="50" t="str">
        <x:v>2023</x:v>
      </x:c>
      <x:c r="G70" s="50" t="str">
        <x:v>https://www2.census.gov/programs-surveys/rhfs/data/public-use-files/2024/rhfspuf2024.csv</x:v>
      </x:c>
      <x:c r="H70" s="50" t="str">
        <x:v>Conditional on nonnegative item response; excludes not reported and not applicable. Descriptive; not savings potential.</x:v>
      </x:c>
      <x:c r="I70" s="2"/>
    </x:row>
    <x:row r="71" ht="60" customHeight="1">
      <x:c r="A71" s="50" t="str">
        <x:v>RHFS expenses</x:v>
      </x:c>
      <x:c r="B71" s="50" t="str">
        <x:v>OPINSUR</x:v>
      </x:c>
      <x:c r="C71" s="50" t="str">
        <x:v>valid_records</x:v>
      </x:c>
      <x:c r="D71" s="54" t="n">
        <x:v>1501</x:v>
      </x:c>
      <x:c r="E71" s="50" t="str">
        <x:v>Independent descriptive calculation</x:v>
      </x:c>
      <x:c r="F71" s="50" t="str">
        <x:v>2023</x:v>
      </x:c>
      <x:c r="G71" s="50" t="str">
        <x:v>https://www2.census.gov/programs-surveys/rhfs/data/public-use-files/2024/rhfspuf2024.csv</x:v>
      </x:c>
      <x:c r="H71" s="50" t="str">
        <x:v>Conditional on nonnegative item response; excludes not reported and not applicable. Descriptive; not savings potential.</x:v>
      </x:c>
      <x:c r="I71" s="2"/>
    </x:row>
    <x:row r="72" ht="60" customHeight="1">
      <x:c r="A72" s="50" t="str">
        <x:v>RHFS expenses</x:v>
      </x:c>
      <x:c r="B72" s="50" t="str">
        <x:v>OPINSUR</x:v>
      </x:c>
      <x:c r="C72" s="50" t="str">
        <x:v>valid_property_weight_fraction</x:v>
      </x:c>
      <x:c r="D72" s="55" t="n">
        <x:v>0.4820174559269025</x:v>
      </x:c>
      <x:c r="E72" s="50" t="str">
        <x:v>Independent descriptive calculation</x:v>
      </x:c>
      <x:c r="F72" s="50" t="str">
        <x:v>2023</x:v>
      </x:c>
      <x:c r="G72" s="50" t="str">
        <x:v>https://www2.census.gov/programs-surveys/rhfs/data/public-use-files/2024/rhfspuf2024.csv</x:v>
      </x:c>
      <x:c r="H72" s="50" t="str">
        <x:v>Conditional on nonnegative item response; excludes not reported and not applicable. Descriptive; not savings potential.</x:v>
      </x:c>
      <x:c r="I72" s="2"/>
    </x:row>
    <x:row r="73" ht="60" customHeight="1">
      <x:c r="A73" s="50" t="str">
        <x:v>RHFS expenses</x:v>
      </x:c>
      <x:c r="B73" s="50" t="str">
        <x:v>OPINSUR</x:v>
      </x:c>
      <x:c r="C73" s="50" t="str">
        <x:v>not_reported_property_weight_fraction</x:v>
      </x:c>
      <x:c r="D73" s="55" t="n">
        <x:v>0.3649142228311959</x:v>
      </x:c>
      <x:c r="E73" s="50" t="str">
        <x:v>Independent descriptive calculation</x:v>
      </x:c>
      <x:c r="F73" s="50" t="str">
        <x:v>2023</x:v>
      </x:c>
      <x:c r="G73" s="50" t="str">
        <x:v>https://www2.census.gov/programs-surveys/rhfs/data/public-use-files/2024/rhfspuf2024.csv</x:v>
      </x:c>
      <x:c r="H73" s="50" t="str">
        <x:v>Conditional on nonnegative item response; excludes not reported and not applicable. Descriptive; not savings potential.</x:v>
      </x:c>
      <x:c r="I73" s="2"/>
    </x:row>
    <x:row r="74" ht="60" customHeight="1">
      <x:c r="A74" s="50" t="str">
        <x:v>RHFS expenses</x:v>
      </x:c>
      <x:c r="B74" s="50" t="str">
        <x:v>OPINSUR</x:v>
      </x:c>
      <x:c r="C74" s="50" t="str">
        <x:v>not_applicable_property_weight_fraction</x:v>
      </x:c>
      <x:c r="D74" s="55" t="n">
        <x:v>0.15306832124190156</x:v>
      </x:c>
      <x:c r="E74" s="50" t="str">
        <x:v>Independent descriptive calculation</x:v>
      </x:c>
      <x:c r="F74" s="50" t="str">
        <x:v>2023</x:v>
      </x:c>
      <x:c r="G74" s="50" t="str">
        <x:v>https://www2.census.gov/programs-surveys/rhfs/data/public-use-files/2024/rhfspuf2024.csv</x:v>
      </x:c>
      <x:c r="H74" s="50" t="str">
        <x:v>Conditional on nonnegative item response; excludes not reported and not applicable. Descriptive; not savings potential.</x:v>
      </x:c>
      <x:c r="I74" s="2"/>
    </x:row>
    <x:row r="75" ht="60" customHeight="1">
      <x:c r="A75" s="50" t="str">
        <x:v>RHFS expenses</x:v>
      </x:c>
      <x:c r="B75" s="50" t="str">
        <x:v>OPINSUR</x:v>
      </x:c>
      <x:c r="C75" s="50" t="str">
        <x:v>annual_per_unit_property_weighted_median</x:v>
      </x:c>
      <x:c r="D75" s="54" t="n">
        <x:v>1000</x:v>
      </x:c>
      <x:c r="E75" s="50" t="str">
        <x:v>Independent descriptive calculation</x:v>
      </x:c>
      <x:c r="F75" s="50" t="str">
        <x:v>2023</x:v>
      </x:c>
      <x:c r="G75" s="50" t="str">
        <x:v>https://www2.census.gov/programs-surveys/rhfs/data/public-use-files/2024/rhfspuf2024.csv</x:v>
      </x:c>
      <x:c r="H75" s="50" t="str">
        <x:v>Conditional on nonnegative item response; excludes not reported and not applicable. Descriptive; not savings potential.</x:v>
      </x:c>
      <x:c r="I75" s="2"/>
    </x:row>
    <x:row r="76" ht="60" customHeight="1">
      <x:c r="A76" s="50" t="str">
        <x:v>RHFS expenses</x:v>
      </x:c>
      <x:c r="B76" s="50" t="str">
        <x:v>OPINSUR</x:v>
      </x:c>
      <x:c r="C76" s="50" t="str">
        <x:v>annual_per_unit_unit_weighted_median</x:v>
      </x:c>
      <x:c r="D76" s="54" t="n">
        <x:v>760</x:v>
      </x:c>
      <x:c r="E76" s="50" t="str">
        <x:v>Independent descriptive calculation</x:v>
      </x:c>
      <x:c r="F76" s="50" t="str">
        <x:v>2023</x:v>
      </x:c>
      <x:c r="G76" s="50" t="str">
        <x:v>https://www2.census.gov/programs-surveys/rhfs/data/public-use-files/2024/rhfspuf2024.csv</x:v>
      </x:c>
      <x:c r="H76" s="50" t="str">
        <x:v>Conditional on nonnegative item response; excludes not reported and not applicable. Descriptive; not savings potential.</x:v>
      </x:c>
      <x:c r="I76" s="2"/>
    </x:row>
    <x:row r="77" ht="60" customHeight="1">
      <x:c r="A77" s="50" t="str">
        <x:v>RHFS expenses</x:v>
      </x:c>
      <x:c r="B77" s="50" t="str">
        <x:v>OPINSUR</x:v>
      </x:c>
      <x:c r="C77" s="50" t="str">
        <x:v>annual_per_unit_property_weighted_mean</x:v>
      </x:c>
      <x:c r="D77" s="54" t="n">
        <x:v>1487.0768742871453</x:v>
      </x:c>
      <x:c r="E77" s="50" t="str">
        <x:v>Independent descriptive calculation</x:v>
      </x:c>
      <x:c r="F77" s="50" t="str">
        <x:v>2023</x:v>
      </x:c>
      <x:c r="G77" s="50" t="str">
        <x:v>https://www2.census.gov/programs-surveys/rhfs/data/public-use-files/2024/rhfspuf2024.csv</x:v>
      </x:c>
      <x:c r="H77" s="50" t="str">
        <x:v>Conditional on nonnegative item response; excludes not reported and not applicable. Descriptive; not savings potential.</x:v>
      </x:c>
      <x:c r="I77" s="2"/>
    </x:row>
    <x:row r="78" ht="60" customHeight="1">
      <x:c r="A78" s="50" t="str">
        <x:v>RHFS expenses</x:v>
      </x:c>
      <x:c r="B78" s="50" t="str">
        <x:v>OPPAY</x:v>
      </x:c>
      <x:c r="C78" s="50" t="str">
        <x:v>valid_records</x:v>
      </x:c>
      <x:c r="D78" s="54" t="n">
        <x:v>1016</x:v>
      </x:c>
      <x:c r="E78" s="50" t="str">
        <x:v>Independent descriptive calculation</x:v>
      </x:c>
      <x:c r="F78" s="50" t="str">
        <x:v>2023</x:v>
      </x:c>
      <x:c r="G78" s="50" t="str">
        <x:v>https://www2.census.gov/programs-surveys/rhfs/data/public-use-files/2024/rhfspuf2024.csv</x:v>
      </x:c>
      <x:c r="H78" s="50" t="str">
        <x:v>Conditional on nonnegative item response; excludes not reported and not applicable. Descriptive; not savings potential.</x:v>
      </x:c>
      <x:c r="I78" s="2"/>
    </x:row>
    <x:row r="79" ht="60" customHeight="1">
      <x:c r="A79" s="50" t="str">
        <x:v>RHFS expenses</x:v>
      </x:c>
      <x:c r="B79" s="50" t="str">
        <x:v>OPPAY</x:v>
      </x:c>
      <x:c r="C79" s="50" t="str">
        <x:v>valid_property_weight_fraction</x:v>
      </x:c>
      <x:c r="D79" s="55" t="n">
        <x:v>0.16851282575476664</x:v>
      </x:c>
      <x:c r="E79" s="50" t="str">
        <x:v>Independent descriptive calculation</x:v>
      </x:c>
      <x:c r="F79" s="50" t="str">
        <x:v>2023</x:v>
      </x:c>
      <x:c r="G79" s="50" t="str">
        <x:v>https://www2.census.gov/programs-surveys/rhfs/data/public-use-files/2024/rhfspuf2024.csv</x:v>
      </x:c>
      <x:c r="H79" s="50" t="str">
        <x:v>Conditional on nonnegative item response; excludes not reported and not applicable. Descriptive; not savings potential.</x:v>
      </x:c>
      <x:c r="I79" s="2"/>
    </x:row>
    <x:row r="80" ht="60" customHeight="1">
      <x:c r="A80" s="50" t="str">
        <x:v>RHFS expenses</x:v>
      </x:c>
      <x:c r="B80" s="50" t="str">
        <x:v>OPPAY</x:v>
      </x:c>
      <x:c r="C80" s="50" t="str">
        <x:v>not_reported_property_weight_fraction</x:v>
      </x:c>
      <x:c r="D80" s="55" t="n">
        <x:v>0.33049244194892474</x:v>
      </x:c>
      <x:c r="E80" s="50" t="str">
        <x:v>Independent descriptive calculation</x:v>
      </x:c>
      <x:c r="F80" s="50" t="str">
        <x:v>2023</x:v>
      </x:c>
      <x:c r="G80" s="50" t="str">
        <x:v>https://www2.census.gov/programs-surveys/rhfs/data/public-use-files/2024/rhfspuf2024.csv</x:v>
      </x:c>
      <x:c r="H80" s="50" t="str">
        <x:v>Conditional on nonnegative item response; excludes not reported and not applicable. Descriptive; not savings potential.</x:v>
      </x:c>
      <x:c r="I80" s="2"/>
    </x:row>
    <x:row r="81" ht="60" customHeight="1">
      <x:c r="A81" s="50" t="str">
        <x:v>RHFS expenses</x:v>
      </x:c>
      <x:c r="B81" s="50" t="str">
        <x:v>OPPAY</x:v>
      </x:c>
      <x:c r="C81" s="50" t="str">
        <x:v>not_applicable_property_weight_fraction</x:v>
      </x:c>
      <x:c r="D81" s="55" t="n">
        <x:v>0.5009947322963086</x:v>
      </x:c>
      <x:c r="E81" s="50" t="str">
        <x:v>Independent descriptive calculation</x:v>
      </x:c>
      <x:c r="F81" s="50" t="str">
        <x:v>2023</x:v>
      </x:c>
      <x:c r="G81" s="50" t="str">
        <x:v>https://www2.census.gov/programs-surveys/rhfs/data/public-use-files/2024/rhfspuf2024.csv</x:v>
      </x:c>
      <x:c r="H81" s="50" t="str">
        <x:v>Conditional on nonnegative item response; excludes not reported and not applicable. Descriptive; not savings potential.</x:v>
      </x:c>
      <x:c r="I81" s="2"/>
    </x:row>
    <x:row r="82" ht="60" customHeight="1">
      <x:c r="A82" s="50" t="str">
        <x:v>RHFS expenses</x:v>
      </x:c>
      <x:c r="B82" s="50" t="str">
        <x:v>OPPAY</x:v>
      </x:c>
      <x:c r="C82" s="50" t="str">
        <x:v>annual_per_unit_property_weighted_median</x:v>
      </x:c>
      <x:c r="D82" s="56" t="n">
        <x:v>0</x:v>
      </x:c>
      <x:c r="E82" s="50" t="str">
        <x:v>Independent descriptive calculation</x:v>
      </x:c>
      <x:c r="F82" s="50" t="str">
        <x:v>2023</x:v>
      </x:c>
      <x:c r="G82" s="50" t="str">
        <x:v>https://www2.census.gov/programs-surveys/rhfs/data/public-use-files/2024/rhfspuf2024.csv</x:v>
      </x:c>
      <x:c r="H82" s="50" t="str">
        <x:v>Conditional on nonnegative item response; excludes not reported and not applicable. Descriptive; not savings potential.</x:v>
      </x:c>
      <x:c r="I82" s="2"/>
    </x:row>
    <x:row r="83" ht="60" customHeight="1">
      <x:c r="A83" s="50" t="str">
        <x:v>RHFS expenses</x:v>
      </x:c>
      <x:c r="B83" s="50" t="str">
        <x:v>OPPAY</x:v>
      </x:c>
      <x:c r="C83" s="50" t="str">
        <x:v>annual_per_unit_unit_weighted_median</x:v>
      </x:c>
      <x:c r="D83" s="54" t="n">
        <x:v>962.5</x:v>
      </x:c>
      <x:c r="E83" s="50" t="str">
        <x:v>Independent descriptive calculation</x:v>
      </x:c>
      <x:c r="F83" s="50" t="str">
        <x:v>2023</x:v>
      </x:c>
      <x:c r="G83" s="50" t="str">
        <x:v>https://www2.census.gov/programs-surveys/rhfs/data/public-use-files/2024/rhfspuf2024.csv</x:v>
      </x:c>
      <x:c r="H83" s="50" t="str">
        <x:v>Conditional on nonnegative item response; excludes not reported and not applicable. Descriptive; not savings potential.</x:v>
      </x:c>
      <x:c r="I83" s="2"/>
    </x:row>
    <x:row r="84" ht="60" customHeight="1">
      <x:c r="A84" s="50" t="str">
        <x:v>RHFS expenses</x:v>
      </x:c>
      <x:c r="B84" s="50" t="str">
        <x:v>OPPAY</x:v>
      </x:c>
      <x:c r="C84" s="50" t="str">
        <x:v>annual_per_unit_property_weighted_mean</x:v>
      </x:c>
      <x:c r="D84" s="54" t="n">
        <x:v>420.64257825992394</x:v>
      </x:c>
      <x:c r="E84" s="50" t="str">
        <x:v>Independent descriptive calculation</x:v>
      </x:c>
      <x:c r="F84" s="50" t="str">
        <x:v>2023</x:v>
      </x:c>
      <x:c r="G84" s="50" t="str">
        <x:v>https://www2.census.gov/programs-surveys/rhfs/data/public-use-files/2024/rhfspuf2024.csv</x:v>
      </x:c>
      <x:c r="H84" s="50" t="str">
        <x:v>Conditional on nonnegative item response; excludes not reported and not applicable. Descriptive; not savings potential.</x:v>
      </x:c>
      <x:c r="I84" s="2"/>
    </x:row>
    <x:row r="85" ht="60" customHeight="1">
      <x:c r="A85" s="50" t="str">
        <x:v>RHFS expenses</x:v>
      </x:c>
      <x:c r="B85" s="50" t="str">
        <x:v>OPEX_R</x:v>
      </x:c>
      <x:c r="C85" s="50" t="str">
        <x:v>valid_records</x:v>
      </x:c>
      <x:c r="D85" s="54" t="n">
        <x:v>1724</x:v>
      </x:c>
      <x:c r="E85" s="50" t="str">
        <x:v>Independent descriptive calculation</x:v>
      </x:c>
      <x:c r="F85" s="50" t="str">
        <x:v>2023</x:v>
      </x:c>
      <x:c r="G85" s="50" t="str">
        <x:v>https://www2.census.gov/programs-surveys/rhfs/data/public-use-files/2024/rhfspuf2024.csv</x:v>
      </x:c>
      <x:c r="H85" s="50" t="str">
        <x:v>Conditional on nonnegative item response; excludes not reported and not applicable. Descriptive; not savings potential.</x:v>
      </x:c>
      <x:c r="I85" s="2"/>
    </x:row>
    <x:row r="86" ht="60" customHeight="1">
      <x:c r="A86" s="50" t="str">
        <x:v>RHFS expenses</x:v>
      </x:c>
      <x:c r="B86" s="50" t="str">
        <x:v>OPEX_R</x:v>
      </x:c>
      <x:c r="C86" s="50" t="str">
        <x:v>valid_property_weight_fraction</x:v>
      </x:c>
      <x:c r="D86" s="55" t="n">
        <x:v>0.5691609412535336</x:v>
      </x:c>
      <x:c r="E86" s="50" t="str">
        <x:v>Independent descriptive calculation</x:v>
      </x:c>
      <x:c r="F86" s="50" t="str">
        <x:v>2023</x:v>
      </x:c>
      <x:c r="G86" s="50" t="str">
        <x:v>https://www2.census.gov/programs-surveys/rhfs/data/public-use-files/2024/rhfspuf2024.csv</x:v>
      </x:c>
      <x:c r="H86" s="50" t="str">
        <x:v>Conditional on nonnegative item response; excludes not reported and not applicable. Descriptive; not savings potential.</x:v>
      </x:c>
      <x:c r="I86" s="2"/>
    </x:row>
    <x:row r="87" ht="60" customHeight="1">
      <x:c r="A87" s="50" t="str">
        <x:v>RHFS expenses</x:v>
      </x:c>
      <x:c r="B87" s="50" t="str">
        <x:v>OPEX_R</x:v>
      </x:c>
      <x:c r="C87" s="50" t="str">
        <x:v>not_reported_property_weight_fraction</x:v>
      </x:c>
      <x:c r="D87" s="55" t="n">
        <x:v>0.4308390587464665</x:v>
      </x:c>
      <x:c r="E87" s="50" t="str">
        <x:v>Independent descriptive calculation</x:v>
      </x:c>
      <x:c r="F87" s="50" t="str">
        <x:v>2023</x:v>
      </x:c>
      <x:c r="G87" s="50" t="str">
        <x:v>https://www2.census.gov/programs-surveys/rhfs/data/public-use-files/2024/rhfspuf2024.csv</x:v>
      </x:c>
      <x:c r="H87" s="50" t="str">
        <x:v>Conditional on nonnegative item response; excludes not reported and not applicable. Descriptive; not savings potential.</x:v>
      </x:c>
      <x:c r="I87" s="2"/>
    </x:row>
    <x:row r="88" ht="60" customHeight="1">
      <x:c r="A88" s="50" t="str">
        <x:v>RHFS expenses</x:v>
      </x:c>
      <x:c r="B88" s="50" t="str">
        <x:v>OPEX_R</x:v>
      </x:c>
      <x:c r="C88" s="50" t="str">
        <x:v>not_applicable_property_weight_fraction</x:v>
      </x:c>
      <x:c r="D88" s="55" t="n">
        <x:v>0</x:v>
      </x:c>
      <x:c r="E88" s="50" t="str">
        <x:v>Independent descriptive calculation</x:v>
      </x:c>
      <x:c r="F88" s="50" t="str">
        <x:v>2023</x:v>
      </x:c>
      <x:c r="G88" s="50" t="str">
        <x:v>https://www2.census.gov/programs-surveys/rhfs/data/public-use-files/2024/rhfspuf2024.csv</x:v>
      </x:c>
      <x:c r="H88" s="50" t="str">
        <x:v>Conditional on nonnegative item response; excludes not reported and not applicable. Descriptive; not savings potential.</x:v>
      </x:c>
      <x:c r="I88" s="2"/>
    </x:row>
    <x:row r="89" ht="60" customHeight="1">
      <x:c r="A89" s="50" t="str">
        <x:v>RHFS expenses</x:v>
      </x:c>
      <x:c r="B89" s="50" t="str">
        <x:v>OPEX_R</x:v>
      </x:c>
      <x:c r="C89" s="50" t="str">
        <x:v>annual_per_unit_property_weighted_median</x:v>
      </x:c>
      <x:c r="D89" s="54" t="n">
        <x:v>4328.25</x:v>
      </x:c>
      <x:c r="E89" s="50" t="str">
        <x:v>Independent descriptive calculation</x:v>
      </x:c>
      <x:c r="F89" s="50" t="str">
        <x:v>2023</x:v>
      </x:c>
      <x:c r="G89" s="50" t="str">
        <x:v>https://www2.census.gov/programs-surveys/rhfs/data/public-use-files/2024/rhfspuf2024.csv</x:v>
      </x:c>
      <x:c r="H89" s="50" t="str">
        <x:v>Conditional on nonnegative item response; excludes not reported and not applicable. Descriptive; not savings potential.</x:v>
      </x:c>
      <x:c r="I89" s="2"/>
    </x:row>
    <x:row r="90" ht="60" customHeight="1">
      <x:c r="A90" s="50" t="str">
        <x:v>RHFS expenses</x:v>
      </x:c>
      <x:c r="B90" s="50" t="str">
        <x:v>OPEX_R</x:v>
      </x:c>
      <x:c r="C90" s="50" t="str">
        <x:v>annual_per_unit_unit_weighted_median</x:v>
      </x:c>
      <x:c r="D90" s="54" t="n">
        <x:v>4466.666666666667</x:v>
      </x:c>
      <x:c r="E90" s="50" t="str">
        <x:v>Independent descriptive calculation</x:v>
      </x:c>
      <x:c r="F90" s="50" t="str">
        <x:v>2023</x:v>
      </x:c>
      <x:c r="G90" s="50" t="str">
        <x:v>https://www2.census.gov/programs-surveys/rhfs/data/public-use-files/2024/rhfspuf2024.csv</x:v>
      </x:c>
      <x:c r="H90" s="50" t="str">
        <x:v>Conditional on nonnegative item response; excludes not reported and not applicable. Descriptive; not savings potential.</x:v>
      </x:c>
      <x:c r="I90" s="2"/>
    </x:row>
    <x:row r="91" ht="60" customHeight="1">
      <x:c r="A91" s="50" t="str">
        <x:v>RHFS expenses</x:v>
      </x:c>
      <x:c r="B91" s="50" t="str">
        <x:v>OPEX_R</x:v>
      </x:c>
      <x:c r="C91" s="50" t="str">
        <x:v>annual_per_unit_property_weighted_mean</x:v>
      </x:c>
      <x:c r="D91" s="54" t="n">
        <x:v>5658.626520753478</x:v>
      </x:c>
      <x:c r="E91" s="50" t="str">
        <x:v>Independent descriptive calculation</x:v>
      </x:c>
      <x:c r="F91" s="50" t="str">
        <x:v>2023</x:v>
      </x:c>
      <x:c r="G91" s="50" t="str">
        <x:v>https://www2.census.gov/programs-surveys/rhfs/data/public-use-files/2024/rhfspuf2024.csv</x:v>
      </x:c>
      <x:c r="H91" s="50" t="str">
        <x:v>Conditional on nonnegative item response; excludes not reported and not applicable. Descriptive; not savings potential.</x:v>
      </x:c>
      <x:c r="I91" s="2"/>
    </x:row>
    <x:row r="92" ht="60" customHeight="1">
      <x:c r="A92" s="50" t="str">
        <x:v>RHFS expenses</x:v>
      </x:c>
      <x:c r="B92" s="50" t="str">
        <x:v>TOTCOLL</x:v>
      </x:c>
      <x:c r="C92" s="50" t="str">
        <x:v>valid_records</x:v>
      </x:c>
      <x:c r="D92" s="54" t="n">
        <x:v>2247</x:v>
      </x:c>
      <x:c r="E92" s="50" t="str">
        <x:v>Independent descriptive calculation</x:v>
      </x:c>
      <x:c r="F92" s="50" t="str">
        <x:v>2023</x:v>
      </x:c>
      <x:c r="G92" s="50" t="str">
        <x:v>https://www2.census.gov/programs-surveys/rhfs/data/public-use-files/2024/rhfspuf2024.csv</x:v>
      </x:c>
      <x:c r="H92" s="50" t="str">
        <x:v>Conditional on nonnegative item response; excludes not reported and not applicable. Descriptive; not savings potential.</x:v>
      </x:c>
      <x:c r="I92" s="2"/>
    </x:row>
    <x:row r="93" ht="60" customHeight="1">
      <x:c r="A93" s="50" t="str">
        <x:v>RHFS expenses</x:v>
      </x:c>
      <x:c r="B93" s="50" t="str">
        <x:v>TOTCOLL</x:v>
      </x:c>
      <x:c r="C93" s="50" t="str">
        <x:v>valid_property_weight_fraction</x:v>
      </x:c>
      <x:c r="D93" s="55" t="n">
        <x:v>0.7756236218888972</x:v>
      </x:c>
      <x:c r="E93" s="50" t="str">
        <x:v>Independent descriptive calculation</x:v>
      </x:c>
      <x:c r="F93" s="50" t="str">
        <x:v>2023</x:v>
      </x:c>
      <x:c r="G93" s="50" t="str">
        <x:v>https://www2.census.gov/programs-surveys/rhfs/data/public-use-files/2024/rhfspuf2024.csv</x:v>
      </x:c>
      <x:c r="H93" s="50" t="str">
        <x:v>Conditional on nonnegative item response; excludes not reported and not applicable. Descriptive; not savings potential.</x:v>
      </x:c>
      <x:c r="I93" s="2"/>
    </x:row>
    <x:row r="94" ht="60" customHeight="1">
      <x:c r="A94" s="50" t="str">
        <x:v>RHFS expenses</x:v>
      </x:c>
      <x:c r="B94" s="50" t="str">
        <x:v>TOTCOLL</x:v>
      </x:c>
      <x:c r="C94" s="50" t="str">
        <x:v>not_reported_property_weight_fraction</x:v>
      </x:c>
      <x:c r="D94" s="55" t="n">
        <x:v>0.16960314820703304</x:v>
      </x:c>
      <x:c r="E94" s="50" t="str">
        <x:v>Independent descriptive calculation</x:v>
      </x:c>
      <x:c r="F94" s="50" t="str">
        <x:v>2023</x:v>
      </x:c>
      <x:c r="G94" s="50" t="str">
        <x:v>https://www2.census.gov/programs-surveys/rhfs/data/public-use-files/2024/rhfspuf2024.csv</x:v>
      </x:c>
      <x:c r="H94" s="50" t="str">
        <x:v>Conditional on nonnegative item response; excludes not reported and not applicable. Descriptive; not savings potential.</x:v>
      </x:c>
      <x:c r="I94" s="2"/>
    </x:row>
    <x:row r="95" ht="60" customHeight="1">
      <x:c r="A95" s="50" t="str">
        <x:v>RHFS expenses</x:v>
      </x:c>
      <x:c r="B95" s="50" t="str">
        <x:v>TOTCOLL</x:v>
      </x:c>
      <x:c r="C95" s="50" t="str">
        <x:v>not_applicable_property_weight_fraction</x:v>
      </x:c>
      <x:c r="D95" s="55" t="n">
        <x:v>0.05477322990406972</x:v>
      </x:c>
      <x:c r="E95" s="50" t="str">
        <x:v>Independent descriptive calculation</x:v>
      </x:c>
      <x:c r="F95" s="50" t="str">
        <x:v>2023</x:v>
      </x:c>
      <x:c r="G95" s="50" t="str">
        <x:v>https://www2.census.gov/programs-surveys/rhfs/data/public-use-files/2024/rhfspuf2024.csv</x:v>
      </x:c>
      <x:c r="H95" s="50" t="str">
        <x:v>Conditional on nonnegative item response; excludes not reported and not applicable. Descriptive; not savings potential.</x:v>
      </x:c>
      <x:c r="I95" s="2"/>
    </x:row>
    <x:row r="96" ht="60" customHeight="1">
      <x:c r="A96" s="50" t="str">
        <x:v>RHFS expenses</x:v>
      </x:c>
      <x:c r="B96" s="50" t="str">
        <x:v>TOTCOLL</x:v>
      </x:c>
      <x:c r="C96" s="50" t="str">
        <x:v>annual_per_unit_property_weighted_median</x:v>
      </x:c>
      <x:c r="D96" s="54" t="n">
        <x:v>25000</x:v>
      </x:c>
      <x:c r="E96" s="50" t="str">
        <x:v>Independent descriptive calculation</x:v>
      </x:c>
      <x:c r="F96" s="50" t="str">
        <x:v>2023</x:v>
      </x:c>
      <x:c r="G96" s="50" t="str">
        <x:v>https://www2.census.gov/programs-surveys/rhfs/data/public-use-files/2024/rhfspuf2024.csv</x:v>
      </x:c>
      <x:c r="H96" s="50" t="str">
        <x:v>Conditional on nonnegative item response; excludes not reported and not applicable. Descriptive; not savings potential.</x:v>
      </x:c>
      <x:c r="I96" s="2"/>
    </x:row>
    <x:row r="97" ht="60" customHeight="1">
      <x:c r="A97" s="50" t="str">
        <x:v>RHFS expenses</x:v>
      </x:c>
      <x:c r="B97" s="50" t="str">
        <x:v>TOTCOLL</x:v>
      </x:c>
      <x:c r="C97" s="50" t="str">
        <x:v>annual_per_unit_unit_weighted_median</x:v>
      </x:c>
      <x:c r="D97" s="54" t="n">
        <x:v>15000</x:v>
      </x:c>
      <x:c r="E97" s="50" t="str">
        <x:v>Independent descriptive calculation</x:v>
      </x:c>
      <x:c r="F97" s="50" t="str">
        <x:v>2023</x:v>
      </x:c>
      <x:c r="G97" s="50" t="str">
        <x:v>https://www2.census.gov/programs-surveys/rhfs/data/public-use-files/2024/rhfspuf2024.csv</x:v>
      </x:c>
      <x:c r="H97" s="50" t="str">
        <x:v>Conditional on nonnegative item response; excludes not reported and not applicable. Descriptive; not savings potential.</x:v>
      </x:c>
      <x:c r="I97" s="2"/>
    </x:row>
    <x:row r="98" ht="60" customHeight="1">
      <x:c r="A98" s="50" t="str">
        <x:v>RHFS expenses</x:v>
      </x:c>
      <x:c r="B98" s="50" t="str">
        <x:v>TOTCOLL</x:v>
      </x:c>
      <x:c r="C98" s="50" t="str">
        <x:v>annual_per_unit_property_weighted_mean</x:v>
      </x:c>
      <x:c r="D98" s="54" t="n">
        <x:v>16532.884894977968</x:v>
      </x:c>
      <x:c r="E98" s="50" t="str">
        <x:v>Independent descriptive calculation</x:v>
      </x:c>
      <x:c r="F98" s="50" t="str">
        <x:v>2023</x:v>
      </x:c>
      <x:c r="G98" s="50" t="str">
        <x:v>https://www2.census.gov/programs-surveys/rhfs/data/public-use-files/2024/rhfspuf2024.csv</x:v>
      </x:c>
      <x:c r="H98" s="50" t="str">
        <x:v>Conditional on nonnegative item response; excludes not reported and not applicable. Descriptive; not savings potential.</x:v>
      </x:c>
      <x:c r="I98" s="2"/>
    </x:row>
    <x:row r="99" ht="46" customHeight="1">
      <x:c r="A99" s="50" t="str">
        <x:v>HVS</x:v>
      </x:c>
      <x:c r="B99" s="50" t="str">
        <x:v>US renter-occupied units</x:v>
      </x:c>
      <x:c r="C99" s="50" t="str">
        <x:v>units</x:v>
      </x:c>
      <x:c r="D99" s="54" t="n">
        <x:v>46827000</x:v>
      </x:c>
      <x:c r="E99" s="50" t="str">
        <x:v>Published source statistic</x:v>
      </x:c>
      <x:c r="F99" s="50" t="str">
        <x:v>2026 Q2</x:v>
      </x:c>
      <x:c r="G99" s="50" t="str">
        <x:v>https://www.census.gov/housing/hvs/files/currenthvspress.pdf</x:v>
      </x:c>
      <x:c r="H99" s="50" t="str">
        <x:v>Table 3; 90% MOE 580000 units; not RHFS population</x:v>
      </x:c>
      <x:c r="I99" s="2"/>
    </x:row>
    <x:row r="100" ht="46" customHeight="1">
      <x:c r="A100" s="50" t="str">
        <x:v>HVS</x:v>
      </x:c>
      <x:c r="B100" s="50" t="str">
        <x:v>US rental vacancy</x:v>
      </x:c>
      <x:c r="C100" s="50" t="str">
        <x:v>percent</x:v>
      </x:c>
      <x:c r="D100" s="57" t="n">
        <x:v>7.3</x:v>
      </x:c>
      <x:c r="E100" s="50" t="str">
        <x:v>Published source statistic</x:v>
      </x:c>
      <x:c r="F100" s="50" t="str">
        <x:v>2026 Q2</x:v>
      </x:c>
      <x:c r="G100" s="50" t="str">
        <x:v>https://www.census.gov/housing/hvs/files/currenthvspress.pdf</x:v>
      </x:c>
      <x:c r="H100" s="50" t="str">
        <x:v>Table 1; 90% MOE 0.2 percentage points</x:v>
      </x:c>
      <x:c r="I100" s="2"/>
    </x:row>
    <x:row r="101" ht="46" customHeight="1">
      <x:c r="A101" s="50" t="str">
        <x:v>HVS</x:v>
      </x:c>
      <x:c r="B101" s="50" t="str">
        <x:v>Median asking rent vacant for-rent units</x:v>
      </x:c>
      <x:c r="C101" s="50" t="str">
        <x:v>USD/month</x:v>
      </x:c>
      <x:c r="D101" s="58" t="n">
        <x:v>1531</x:v>
      </x:c>
      <x:c r="E101" s="50" t="str">
        <x:v>Published source statistic</x:v>
      </x:c>
      <x:c r="F101" s="50" t="str">
        <x:v>2026 Q2</x:v>
      </x:c>
      <x:c r="G101" s="50" t="str">
        <x:v>https://www.census.gov/housing/hvs/files/currenthvspress.pdf</x:v>
      </x:c>
      <x:c r="H101" s="50" t="str">
        <x:v>Not average occupied-unit rent</x:v>
      </x:c>
      <x:c r="I101" s="2"/>
    </x:row>
    <x:row r="102" ht="46" customHeight="1">
      <x:c r="A102" s="50" t="str">
        <x:v>BLS</x:v>
      </x:c>
      <x:c r="B102" s="50" t="str">
        <x:v>Property real estate community association manager median wage</x:v>
      </x:c>
      <x:c r="C102" s="50" t="str">
        <x:v>USD/year</x:v>
      </x:c>
      <x:c r="D102" s="58" t="n">
        <x:v>69990</x:v>
      </x:c>
      <x:c r="E102" s="50" t="str">
        <x:v>Published source statistic</x:v>
      </x:c>
      <x:c r="F102" s="50" t="str">
        <x:v>2025 May</x:v>
      </x:c>
      <x:c r="G102" s="50" t="str">
        <x:v>https://www.bls.gov/ooh/management/property-real-estate-and-community-association-managers.htm</x:v>
      </x:c>
      <x:c r="H102" s="50" t="str">
        <x:v>Broad occupation; salary excludes employer benefit load</x:v>
      </x:c>
      <x:c r="I102" s="2"/>
    </x:row>
    <x:row r="103" ht="46" customHeight="1">
      <x:c r="A103" s="50" t="str">
        <x:v>BLS</x:v>
      </x:c>
      <x:c r="B103" s="50" t="str">
        <x:v>Property real estate community association manager median wage</x:v>
      </x:c>
      <x:c r="C103" s="50" t="str">
        <x:v>USD/hour</x:v>
      </x:c>
      <x:c r="D103" s="58" t="n">
        <x:v>33.65</x:v>
      </x:c>
      <x:c r="E103" s="50" t="str">
        <x:v>Published source statistic</x:v>
      </x:c>
      <x:c r="F103" s="50" t="str">
        <x:v>2025 May</x:v>
      </x:c>
      <x:c r="G103" s="50" t="str">
        <x:v>https://www.bls.gov/ooh/management/property-real-estate-and-community-association-managers.htm</x:v>
      </x:c>
      <x:c r="H103" s="50" t="str">
        <x:v>Not the wage for every task role</x:v>
      </x:c>
      <x:c r="I103" s="2"/>
    </x:row>
    <x:row r="104" ht="47" customHeight="1">
      <x:c r="A104" s="50" t="str">
        <x:v>BLS</x:v>
      </x:c>
      <x:c r="B104" s="50" t="str">
        <x:v>Property real estate community association managers jobs</x:v>
      </x:c>
      <x:c r="C104" s="50" t="str">
        <x:v>jobs</x:v>
      </x:c>
      <x:c r="D104" s="54" t="n">
        <x:v>460400</x:v>
      </x:c>
      <x:c r="E104" s="50" t="str">
        <x:v>Published source statistic</x:v>
      </x:c>
      <x:c r="F104" s="50" t="str">
        <x:v>2025</x:v>
      </x:c>
      <x:c r="G104" s="50" t="str">
        <x:v>https://www.bls.gov/ooh/management/property-real-estate-and-community-association-managers.htm</x:v>
      </x:c>
      <x:c r="H104" s="50" t="str">
        <x:v>Includes residential commercial association managers and self employed; not number of PM firms</x:v>
      </x:c>
      <x:c r="I104" s="2"/>
    </x:row>
    <x:row r="105" ht="47" customHeight="1">
      <x:c r="A105" s="50" t="str">
        <x:v>INVH</x:v>
      </x:c>
      <x:c r="B105" s="50" t="str">
        <x:v>Same store homes</x:v>
      </x:c>
      <x:c r="C105" s="50" t="str">
        <x:v>homes</x:v>
      </x:c>
      <x:c r="D105" s="54" t="n">
        <x:v>76819</x:v>
      </x:c>
      <x:c r="E105" s="50" t="str">
        <x:v>Published source statistic</x:v>
      </x:c>
      <x:c r="F105" s="50" t="str">
        <x:v>FY2025</x:v>
      </x:c>
      <x:c r="G105" s="50" t="str">
        <x:v>https://www.businesswire.com/news/home/20260218809149/en/Invitation-Homes-Reports-Fourth-Quarter-and-Full-Year-2025-Results</x:v>
      </x:c>
      <x:c r="H105" s="50" t="str">
        <x:v>Single company SFR portfolio; not national</x:v>
      </x:c>
      <x:c r="I105" s="2"/>
    </x:row>
    <x:row r="106" ht="47" customHeight="1">
      <x:c r="A106" s="50" t="str">
        <x:v>INVH</x:v>
      </x:c>
      <x:c r="B106" s="50" t="str">
        <x:v>Same store annual turnover</x:v>
      </x:c>
      <x:c r="C106" s="50" t="str">
        <x:v>percent</x:v>
      </x:c>
      <x:c r="D106" s="57" t="n">
        <x:v>22.8</x:v>
      </x:c>
      <x:c r="E106" s="50" t="str">
        <x:v>Published source statistic</x:v>
      </x:c>
      <x:c r="F106" s="50" t="str">
        <x:v>FY2025</x:v>
      </x:c>
      <x:c r="G106" s="50" t="str">
        <x:v>https://www.businesswire.com/news/home/20260218809149/en/Invitation-Homes-Reports-Fourth-Quarter-and-Full-Year-2025-Results</x:v>
      </x:c>
      <x:c r="H106" s="50" t="str">
        <x:v>Annual turnover; quarterly value 5.6% must not be treated as annual</x:v>
      </x:c>
      <x:c r="I106" s="2"/>
    </x:row>
    <x:row r="107" ht="47" customHeight="1">
      <x:c r="A107" s="50" t="str">
        <x:v>INVH</x:v>
      </x:c>
      <x:c r="B107" s="50" t="str">
        <x:v>Same store occupancy</x:v>
      </x:c>
      <x:c r="C107" s="50" t="str">
        <x:v>percent</x:v>
      </x:c>
      <x:c r="D107" s="57" t="n">
        <x:v>96.8</x:v>
      </x:c>
      <x:c r="E107" s="50" t="str">
        <x:v>Published source statistic</x:v>
      </x:c>
      <x:c r="F107" s="50" t="str">
        <x:v>FY2025</x:v>
      </x:c>
      <x:c r="G107" s="50" t="str">
        <x:v>https://www.businesswire.com/news/home/20260218809149/en/Invitation-Homes-Reports-Fourth-Quarter-and-Full-Year-2025-Results</x:v>
      </x:c>
      <x:c r="H107" s="50" t="str">
        <x:v>Same store average occupancy</x:v>
      </x:c>
      <x:c r="I107" s="2"/>
    </x:row>
    <x:row r="108" ht="60" customHeight="1">
      <x:c r="A108" s="50" t="str">
        <x:v>AvalonBay</x:v>
      </x:c>
      <x:c r="B108" s="50" t="str">
        <x:v>Same store annualized turnover</x:v>
      </x:c>
      <x:c r="C108" s="50" t="str">
        <x:v>percent annualized</x:v>
      </x:c>
      <x:c r="D108" s="57" t="n">
        <x:v>37.2</x:v>
      </x:c>
      <x:c r="E108" s="50" t="str">
        <x:v>Published source statistic</x:v>
      </x:c>
      <x:c r="F108" s="50" t="str">
        <x:v>H1 2026</x:v>
      </x:c>
      <x:c r="G108" s="50" t="str">
        <x:v>https://investors.avalonbay.com/sec-filings/all-sec-filings/content/0000915912-26-000018/q22026ex-992.htm</x:v>
      </x:c>
      <x:c r="H108" s="50" t="str">
        <x:v>Attachment 3; annualized H1 run rate not actual annual2026 turnover; excludes third-party-managed communities</x:v>
      </x:c>
      <x:c r="I108" s="2"/>
    </x:row>
    <x:row r="109" ht="46" customHeight="1">
      <x:c r="A109" s="50" t="str">
        <x:v>Buildium</x:v>
      </x:c>
      <x:c r="B109" s="50" t="str">
        <x:v>Survey respondents using AI</x:v>
      </x:c>
      <x:c r="C109" s="50" t="str">
        <x:v>percent</x:v>
      </x:c>
      <x:c r="D109" s="57" t="n">
        <x:v>58</x:v>
      </x:c>
      <x:c r="E109" s="50" t="str">
        <x:v>Published source statistic</x:v>
      </x:c>
      <x:c r="F109" s="50" t="str">
        <x:v>2025 survey reported for 2026</x:v>
      </x:c>
      <x:c r="G109" s="50" t="str">
        <x:v>https://www.buildium.com/resource/2026-property-management-industry-report/</x:v>
      </x:c>
      <x:c r="H109" s="50" t="str">
        <x:v>Vendor survey; not representative population estimate or causal impact</x:v>
      </x:c>
      <x:c r="I109" s="2"/>
    </x:row>
    <x:row r="110" ht="46" customHeight="1">
      <x:c r="A110" s="50" t="str">
        <x:v>Buildium</x:v>
      </x:c>
      <x:c r="B110" s="50" t="str">
        <x:v>Companies fully automating any process</x:v>
      </x:c>
      <x:c r="C110" s="50" t="str">
        <x:v>percent</x:v>
      </x:c>
      <x:c r="D110" s="57" t="n">
        <x:v>8</x:v>
      </x:c>
      <x:c r="E110" s="50" t="str">
        <x:v>Published source statistic</x:v>
      </x:c>
      <x:c r="F110" s="50" t="str">
        <x:v>2025 survey reported for 2026</x:v>
      </x:c>
      <x:c r="G110" s="50" t="str">
        <x:v>https://www.buildium.com/resource/2026-property-management-industry-report/</x:v>
      </x:c>
      <x:c r="H110" s="50" t="str">
        <x:v>Current adoption outcome not technical automation ceiling</x:v>
      </x:c>
      <x:c r="I110" s="2"/>
    </x:row>
    <x:row r="111" ht="47" customHeight="1">
      <x:c r="A111" s="50" t="str">
        <x:v>England EPLS</x:v>
      </x:c>
      <x:c r="B111" s="50" t="str">
        <x:v>Direct landlords with one property</x:v>
      </x:c>
      <x:c r="C111" s="50" t="str">
        <x:v>percent</x:v>
      </x:c>
      <x:c r="D111" s="57" t="n">
        <x:v>45</x:v>
      </x:c>
      <x:c r="E111" s="50" t="str">
        <x:v>Published source statistic</x:v>
      </x:c>
      <x:c r="F111" s="50" t="str">
        <x:v>2024</x:v>
      </x:c>
      <x:c r="G111" s="50" t="str">
        <x:v>https://www.gov.uk/government/statistics/english-private-landlord-survey-2024-main-report/english-private-landlord-survey-2024-main-report</x:v>
      </x:c>
      <x:c r="H111" s="50" t="str">
        <x:v>Landlords directly registering deposits only; not whole England landlord universe</x:v>
      </x:c>
      <x:c r="I111" s="2"/>
    </x:row>
    <x:row r="112" ht="47" customHeight="1">
      <x:c r="A112" s="50" t="str">
        <x:v>England EPLS</x:v>
      </x:c>
      <x:c r="B112" s="50" t="str">
        <x:v>Tenancies owned by direct landlords with 5+ properties</x:v>
      </x:c>
      <x:c r="C112" s="50" t="str">
        <x:v>percent</x:v>
      </x:c>
      <x:c r="D112" s="57" t="n">
        <x:v>49</x:v>
      </x:c>
      <x:c r="E112" s="50" t="str">
        <x:v>Published source statistic</x:v>
      </x:c>
      <x:c r="F112" s="50" t="str">
        <x:v>2024</x:v>
      </x:c>
      <x:c r="G112" s="50" t="str">
        <x:v>https://www.gov.uk/government/statistics/english-private-landlord-survey-2024-main-report/english-private-landlord-survey-2024-main-report</x:v>
      </x:c>
      <x:c r="H112" s="50" t="str">
        <x:v>Same direct-landlord sample limitation</x:v>
      </x:c>
      <x:c r="I112" s="2"/>
    </x:row>
  </x:sheetData>
  <x:pageMargins left="0.7" right="0.7" top="0.75" bottom="0.75" header="0.3" footer="0.3"/>
  <x:tableParts count="1">
    <x:tablePart xmlns:r="http://schemas.openxmlformats.org/officeDocument/2006/relationships" r:id="R2a0ad5d85efa4628"/>
  </x:tableParts>
</x:worksheet>
</file>